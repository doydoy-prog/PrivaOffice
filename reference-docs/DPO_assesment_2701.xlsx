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ate1904="1" codeName="חוברת_עבודה_זו" defaultThemeVersion="166925"/>
  <mc:AlternateContent xmlns:mc="http://schemas.openxmlformats.org/markup-compatibility/2006">
    <mc:Choice Requires="x15">
      <x15ac:absPath xmlns:x15ac="http://schemas.microsoft.com/office/spreadsheetml/2010/11/ac" url="\\main-jr-fs4\Citrix-Profiles2016\Redirect\BarAsa\Downloads\"/>
    </mc:Choice>
  </mc:AlternateContent>
  <xr:revisionPtr revIDLastSave="0" documentId="13_ncr:1_{A414DF92-952D-4963-BBF9-E31920538C3E}" xr6:coauthVersionLast="47" xr6:coauthVersionMax="47" xr10:uidLastSave="{00000000-0000-0000-0000-000000000000}"/>
  <bookViews>
    <workbookView showSheetTabs="0" xWindow="-120" yWindow="-120" windowWidth="28920" windowHeight="13860" tabRatio="900" xr2:uid="{51C48CB3-FFB1-4008-ADBC-3FDE3C126E14}"/>
  </bookViews>
  <sheets>
    <sheet name="ראשי" sheetId="7" r:id="rId1"/>
    <sheet name="1. יידוע" sheetId="11" r:id="rId2"/>
    <sheet name="2. הסכמה" sheetId="2" r:id="rId3"/>
    <sheet name="2.1 סוגיות נוספות לבחינה" sheetId="17" r:id="rId4"/>
    <sheet name="3. צמידות מטרה וצמצום מידע" sheetId="3" r:id="rId5"/>
    <sheet name="4. אבטחת מידע" sheetId="5" r:id="rId6"/>
    <sheet name="4.1 סעיפי חובה מסמך הגדרות מאגר" sheetId="9" r:id="rId7"/>
    <sheet name="5. בקרה שוטפת" sheetId="4" r:id="rId8"/>
    <sheet name="5.1 תיקון ליקויים" sheetId="10" r:id="rId9"/>
    <sheet name="6. רישום והודעה על מאגרים" sheetId="15" r:id="rId10"/>
    <sheet name="7. דיוור ישיר" sheetId="12" r:id="rId11"/>
    <sheet name="8. עובדים" sheetId="1" r:id="rId12"/>
    <sheet name="9. טיפול בפניות" sheetId="6" r:id="rId13"/>
    <sheet name="10. אחריות דירקטוריון" sheetId="16"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0" i="5" l="1" a="1"/>
  <c r="J10" i="5" s="1"/>
  <c r="J11" i="5" a="1"/>
  <c r="J11" i="5" s="1"/>
  <c r="J14" i="5" a="1"/>
  <c r="J14" i="5" s="1"/>
  <c r="J15" i="5" a="1"/>
  <c r="J15" i="5" s="1"/>
  <c r="J16" i="5" a="1"/>
  <c r="J16" i="5" s="1"/>
  <c r="J14" i="4" a="1"/>
  <c r="J14" i="4" s="1"/>
  <c r="J13" i="4" a="1"/>
  <c r="J13" i="4" s="1"/>
  <c r="J12" i="4" a="1"/>
  <c r="J12" i="4" s="1"/>
  <c r="J11" i="4" a="1"/>
  <c r="J11" i="4" s="1"/>
  <c r="J10" i="4" a="1"/>
  <c r="J10" i="4" s="1"/>
  <c r="J9" i="4" a="1"/>
  <c r="J9" i="4" s="1"/>
  <c r="J8" i="4" a="1"/>
  <c r="J8" i="4" s="1"/>
  <c r="J7" i="4" a="1"/>
  <c r="J7" i="4" s="1"/>
  <c r="J6" i="4" a="1"/>
  <c r="J6" i="4" s="1"/>
  <c r="J5" i="4" a="1"/>
  <c r="J5" i="4" s="1"/>
  <c r="J9" i="2" a="1"/>
  <c r="J9" i="2" s="1"/>
  <c r="J9" i="17" a="1"/>
  <c r="J9" i="17" s="1"/>
  <c r="J8" i="17" a="1"/>
  <c r="J8" i="17" s="1"/>
  <c r="J7" i="17" a="1"/>
  <c r="J7" i="17" s="1"/>
  <c r="J5" i="17" a="1"/>
  <c r="J5" i="17" s="1"/>
  <c r="I8" i="15" a="1"/>
  <c r="I8" i="15" s="1"/>
  <c r="L10" i="3"/>
  <c r="P5" i="6"/>
  <c r="P6" i="6"/>
  <c r="J7" i="2" a="1"/>
  <c r="J7" i="2" s="1"/>
  <c r="J8" i="2" a="1"/>
  <c r="J8" i="2" s="1"/>
  <c r="J6" i="2" a="1"/>
  <c r="J6" i="2" s="1"/>
  <c r="J6" i="11" a="1"/>
  <c r="J6" i="11" s="1"/>
  <c r="J7" i="11" a="1"/>
  <c r="J7" i="11" s="1"/>
  <c r="J8" i="11" a="1"/>
  <c r="J8" i="11" s="1"/>
  <c r="J5" i="11" a="1"/>
  <c r="J5" i="11" s="1"/>
  <c r="J6" i="1" a="1"/>
  <c r="J6" i="1" s="1"/>
  <c r="J7" i="1" a="1"/>
  <c r="J7" i="1" s="1"/>
  <c r="J8" i="1" a="1"/>
  <c r="J8" i="1" s="1"/>
  <c r="J9" i="1" a="1"/>
  <c r="J9" i="1" s="1"/>
  <c r="J10" i="1" a="1"/>
  <c r="J10" i="1" s="1"/>
  <c r="J11" i="1" a="1"/>
  <c r="J11" i="1" s="1"/>
  <c r="J5" i="1" a="1"/>
  <c r="J5" i="1" s="1"/>
  <c r="P7" i="6"/>
  <c r="P8" i="6"/>
  <c r="P9" i="6"/>
  <c r="P10" i="6"/>
  <c r="P11" i="6"/>
  <c r="P12" i="6"/>
  <c r="P13"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<sst xmlns="http://schemas.openxmlformats.org/spreadsheetml/2006/main" count="204" uniqueCount="158">
  <si>
    <t>משימה</t>
  </si>
  <si>
    <t>תאריך ביצוע</t>
  </si>
  <si>
    <t>האם בוצע?</t>
  </si>
  <si>
    <t>גורם אחראי בחברה</t>
  </si>
  <si>
    <t>תאריך ביצוע הבא עד לתאריך</t>
  </si>
  <si>
    <t>גורם פונה</t>
  </si>
  <si>
    <t>תאריך פניה</t>
  </si>
  <si>
    <t>סוגיה</t>
  </si>
  <si>
    <t>גורם שהועבר לבדיקתו</t>
  </si>
  <si>
    <t>האם התקבל מענה בחברה?</t>
  </si>
  <si>
    <t>האם הועבר מענה לפונה?</t>
  </si>
  <si>
    <t xml:space="preserve">סיכום מענה לפונה </t>
  </si>
  <si>
    <t>תג"ב שנקבע</t>
  </si>
  <si>
    <t>האם מדובר באירוע שמחויב בדיווח לרשות?</t>
  </si>
  <si>
    <t>חובה</t>
  </si>
  <si>
    <t>סעיף בתקנות</t>
  </si>
  <si>
    <t>עד מתי ניתן לביצוע?</t>
  </si>
  <si>
    <t>סעיפי חובה במסמך הגדרות מאגר</t>
  </si>
  <si>
    <t>האם קיים במסמך?</t>
  </si>
  <si>
    <t>בקרה שוטפת</t>
  </si>
  <si>
    <t>האם וידאת כי כלל הנתונים המצוינים בסעיף 11 לחוק מוצגים בהודעה?</t>
  </si>
  <si>
    <t>במקרה של איסוף מידע במסגרת מערכת אוטומטית (בוט) – האם וידאת כי הליך היידוע מתקיים עם התחלת האינטראקציה עם נושא המידע?</t>
  </si>
  <si>
    <t xml:space="preserve">האם נבדק הצורך בהצגת פירוט נרחב יותר של נתונים במסגרת הליך היידוע? (לדוג' בעת איסוף מידע ביומטרי מסגרת יחסי עבודה; בעת שימוש במערכות טכנולוגיות חדשות בעלות השלכה על פרטיות). </t>
  </si>
  <si>
    <t>גורם בודק/אחראי</t>
  </si>
  <si>
    <t>מועד ביצוע</t>
  </si>
  <si>
    <t>פעולות שבוצעו</t>
  </si>
  <si>
    <t>ממצאים</t>
  </si>
  <si>
    <t>תאריך הבא לביצוע</t>
  </si>
  <si>
    <t>הגורם המטפל</t>
  </si>
  <si>
    <t>מועד הבדיקה</t>
  </si>
  <si>
    <t>ממצאי הבדיקה</t>
  </si>
  <si>
    <t>תיקון ליקויים</t>
  </si>
  <si>
    <t>אבטחת מידע</t>
  </si>
  <si>
    <t>טיפול בפניות</t>
  </si>
  <si>
    <t>דיוור ישיר</t>
  </si>
  <si>
    <t xml:space="preserve">הסכמה </t>
  </si>
  <si>
    <t>אם לא קיים, לציין באחריות מי להוסיף?</t>
  </si>
  <si>
    <t xml:space="preserve">להרחבה ראו: </t>
  </si>
  <si>
    <t>הסכמה</t>
  </si>
  <si>
    <t>קטגוריות:</t>
  </si>
  <si>
    <t>זהות הממונה על הגנת הפרטיות ודרכי ההתקשרות עימו</t>
  </si>
  <si>
    <t>סוג השירות שנותן המחזיק במאגר המידע לבעל השליטה בו</t>
  </si>
  <si>
    <t>סוגי המידע שייכללו במאגר</t>
  </si>
  <si>
    <t>פרטים בדבר העברת מידע מחוץ לגבולות המדינה</t>
  </si>
  <si>
    <t>פרטים בדבר קבלת מידע, דרך קבע, מגוף ציבורי כהגדרתו בסעיף 23, שם הגוף הציבורי מוסר המידע ומהות המידע הנמסר, למעט פרטים הנמסרים בהסכמת מי שהמידע על אודותיו</t>
  </si>
  <si>
    <t>האם מטרתו העיקרית של מאגר המידע היא איסוף מידע אישי לשם מסירתו לאחר כדרך עיסוק או בתמורה, לרבות שירותי דיוור ישיר, ויש במאגר מידע אישי על יותר מ-10,000 בני אדם?</t>
  </si>
  <si>
    <t>האם עומד בקרטריון?</t>
  </si>
  <si>
    <t>סוגיה לבחינה</t>
  </si>
  <si>
    <t>האם הוגשה בקשה לרישום המאגר לרשות להגנת הפרטיות?</t>
  </si>
  <si>
    <t>האם ההודעה כללה את הפרטים הבאים:</t>
  </si>
  <si>
    <t>הודעה</t>
  </si>
  <si>
    <t>רישום</t>
  </si>
  <si>
    <t>מענה</t>
  </si>
  <si>
    <t xml:space="preserve">אחריות דירקטוריון </t>
  </si>
  <si>
    <t>אחריות דירקטוריון</t>
  </si>
  <si>
    <t>מועד</t>
  </si>
  <si>
    <t>מועד הבא לביצוע</t>
  </si>
  <si>
    <t>האם בוצעו המשימות בתכנית הבקרה?</t>
  </si>
  <si>
    <t>האם בעל השליטה במאגר המידע הוא משרד ממשלתי או מוסד מדינה אחר, רשות מקומית או גוף אחר הממלא תפקידים ציבוריים על פי דין?</t>
  </si>
  <si>
    <t>האם הבקשה לרישום המאגר כללה את הפרטים הבאים:</t>
  </si>
  <si>
    <t>אם ארגונך הוא בעל שליטה או מחזיק במאגר מידע המשמש לדיוור ישיר</t>
  </si>
  <si>
    <t>1. האם דירקטוריון החברה מפקח על מדיניות החברה בנוגע לאופן השימוש במידע אישי בארגון וניהולו?</t>
  </si>
  <si>
    <t>האם מוצגת מודעה כנדרש ע"פ הוראות סעיף 11 לחוק?</t>
  </si>
  <si>
    <t>האם וידאת כי המידע הנאסף נדרש למטרות האיסוף או למטרות המאגר?</t>
  </si>
  <si>
    <t>האם וידאת כי המידע משמש אך ורק למטרת איסופו או למטרת המאגר בו הוא שמור?</t>
  </si>
  <si>
    <t>האם וידאת ביצוע בדיקה, אחת לשנה, אם אין במאגר מידע עודף שאינו נדרש למטרות המאגר?</t>
  </si>
  <si>
    <t>האם קיים בחברה נוהל אבטחת מידע?</t>
  </si>
  <si>
    <t>האם קיים בחברה מסמך הגדרות מאגר?</t>
  </si>
  <si>
    <t>זהות בעל השליטה במאגר המידע, מענו ודרכי ההתקשרות עמו</t>
  </si>
  <si>
    <t xml:space="preserve">הקמת מאגר המידע והמטרות שלהן נועד המידע </t>
  </si>
  <si>
    <t>הדרכת עובדים</t>
  </si>
  <si>
    <t>בחברות המחויבות ברמת אבטחה בינונית לפי התקנות - האם התקיים דיון בהנהלה על אירועי אבטחת מידע?</t>
  </si>
  <si>
    <t xml:space="preserve">בחברות המחויבות ברמת אבטחה גבוהה לפי התקנות - האם התקיים דיון בהנהלה על אירועי אבטחת מידע? </t>
  </si>
  <si>
    <t xml:space="preserve">בחברות המחויבות ברמת אבטחה בינונית/גבוהה לפי התקנות - האם בוצעה בחברה ביקורת תקופתית? </t>
  </si>
  <si>
    <t>כאשר מאגר המידע של ארגונך מבוסס על מידע שנאסף מנושא המידע או בהסכמתו</t>
  </si>
  <si>
    <t>האם  שויכו משימות בתכנית הבקרה לבעלי תפקיד בחברה?</t>
  </si>
  <si>
    <t xml:space="preserve">האם נקבעו מועדים להדרכות כנדרש? </t>
  </si>
  <si>
    <t>כאשר מדובר בארגון אשר עיבוד מידע אישי מצוי בליבת הפעילות שלו או שפעילות הארגון יוצרת סיכון מוגבר לפגיעה בפרטיות בשל מאפייני הארגון</t>
  </si>
  <si>
    <t>האם נוהל אבטחת מידע כולל את כלל הרכיבים הנדרשים בהתאם לתקנה 4 לתקנות הגנת הפרטיות (אבטחת מידע)?</t>
  </si>
  <si>
    <t>האם נאסף מידע שלא נדרש לשם הגשמת מטרות האיסוף או מטרות המאגר?</t>
  </si>
  <si>
    <t>תיאור כללי של פעולות האיסוף והשימוש במידע</t>
  </si>
  <si>
    <t>2(א)(1)</t>
  </si>
  <si>
    <t>תיאור מטרות השימוש במידע</t>
  </si>
  <si>
    <t>2(א)(2)</t>
  </si>
  <si>
    <t>סוגי המידע השונים הכלולים במאגר המידע</t>
  </si>
  <si>
    <t>2(א)(3)</t>
  </si>
  <si>
    <t>פרטים על העברת מאגר המידע, או חלק מהותי ממנו אל מחוץ לגבולות המדינה או שימוש במידע מחוץ לגבולות המדינה, מטרת ההעברה, ארץ היעד, אופן ההעברה וזהות הנעבר</t>
  </si>
  <si>
    <t>2(א)(4)</t>
  </si>
  <si>
    <t>פעולות עיבוד מידע באמצעות מחזיק</t>
  </si>
  <si>
    <t>2(א)(5)</t>
  </si>
  <si>
    <t>הסיכונים העיקריים של פגיעה באבטחת המידע ואופן ההתמודדות עמם</t>
  </si>
  <si>
    <t>2(א)(6)</t>
  </si>
  <si>
    <t>שמו של מנהל מאגר המידע , של מחזיק המאגר ושל הממונה על אבטחת המידע בו, אם מונה כזה</t>
  </si>
  <si>
    <t>2(א)(7)</t>
  </si>
  <si>
    <t xml:space="preserve">האם הפנייה בדיוור ישיר מכילה באופן ברור ובולט את כל פרטי המידע הנדרשים על-פי החוק? </t>
  </si>
  <si>
    <t>האם פניות למחיקת מידע ממאגר לדיוור ישיר מטופלות על ידי הארגון?</t>
  </si>
  <si>
    <t>האם  וידאת שכל עיבוד של מידע אישי שמקורו אינו בארגון מבוצע בהתאם להרשאה בתוקף?</t>
  </si>
  <si>
    <t>האם וידאת שהמידע האישי שבמאגר המידע נוצר, התקבל, נצבר או נאסף בהתאם להוראות חוק הגנת הפרטיות או בהתאם להוראות כל דין?</t>
  </si>
  <si>
    <t xml:space="preserve">במידה והסכמה מתקבלת באופן משתמע (מכללא): האם נבחנה אפשרות מעבר למנגנון קבלת הסכמה מפורשת? </t>
  </si>
  <si>
    <t>במידה ומידע נאסף במתכונת של "ברירת מחדל" (opt-out): האם נבחנה אפשרות למעבר למנגנון איסוף המידע במתכונת של opt-in?</t>
  </si>
  <si>
    <t>מסמך הרשות להגנת הפרטיות בנושא "צמצום מידע"</t>
  </si>
  <si>
    <t>2. האם דירקטוריון החברה מעורב במידה נאותה בפיקוח על קיום הוראות תקנות הגנת הפרטיות (אבטחת מידע), התשע"ז - 2017, כנדרש בהנחיית הרשות להגנת הפרטיות מס' 1/2024?</t>
  </si>
  <si>
    <t>מסמך הרשות להגנת הפרטיות בנושא "חובת יידוע במסגרת איסוף ושימוש במידע אישי"</t>
  </si>
  <si>
    <t>גילוי דעת הרשות להגנת הפרטיות בנושא "הסכמה בדיני הגנת פרטיות"</t>
  </si>
  <si>
    <t>הנחיית הרשות להגנת הפרטיות בנושא "פרשנות ויישום הוראות חוק הגנת הפרטיות בעניין דיוור ישיר ושירותי דיוור ישיר"</t>
  </si>
  <si>
    <t>כלי עזר לניהול משימות DPO</t>
  </si>
  <si>
    <t xml:space="preserve"> יידוע נושאי מידע </t>
  </si>
  <si>
    <t>יידוע נושאי מידע</t>
  </si>
  <si>
    <t>סוגיות נוספות לבחינה בהתאם להמלצות הרשות</t>
  </si>
  <si>
    <t xml:space="preserve">במידה והסכמה מתקבלת בע"פ: האם נבחנה אפשרות לקבלת ההסכמה בכתב? </t>
  </si>
  <si>
    <t xml:space="preserve">במידה והסכמה מתקבלת בע"פ: האם הליך קבלת ההסכמה מתועד? </t>
  </si>
  <si>
    <t>האם קיים חשש כי הסכמה עלולה להינתן שלא מתוך רצון חופשי של נושא המידע? אם כן, מה נעשה להתמודדות עם החשש? האם נבחנו אפשרויות להעמדת חלופות לנושא המידע?</t>
  </si>
  <si>
    <t>עיבוד, צמידות מטרה וצמצום מידע</t>
  </si>
  <si>
    <t>רישום והודעה על מאגרי מידע</t>
  </si>
  <si>
    <t>האם העמדתם מנגנון באמצעותו אדם יכול לדרוש בכתב כי מידע אישי המתייחס אליו לא יימסר לאדם, לסוג בני אדם או לאנשים מסוימים, לפרק זמן מוגבל או קבוע?</t>
  </si>
  <si>
    <t xml:space="preserve">טיפול בפניות </t>
  </si>
  <si>
    <t>להרחבה ראו</t>
  </si>
  <si>
    <t>3. האם הדירקטוריון וידא את כל הנושאים בהם הוא מחויב בהתאם להנחיית הרשות מס' 1/2024?</t>
  </si>
  <si>
    <t>האם וידאת כי מוצגים בפני נושאי המידע כלל הנתונים הנדרשים לקבלת הסכמה מדעת?</t>
  </si>
  <si>
    <t>האם וידאת כי לא נעשה שימוש ב"טקטיקות אפלות" (dark patterns) בעת הליך קבלת ההסכמה ליצירת השפעה פסולה על נושא המידע?</t>
  </si>
  <si>
    <t>האם וידאת הבאת נוהל אבטחת מידע לאישור הנהלת החברה?</t>
  </si>
  <si>
    <t>האם וידאת הבאת מסמך הגדרות מאגר לאישור הנהלת החברה?</t>
  </si>
  <si>
    <t>בחברות המחויבות ברמת אבטחה גבוהה לפי התקנות - האם וידאת כי בוצעו מבדקי חדירות?</t>
  </si>
  <si>
    <t>בחברות המחויבות ברמת אבטחה גבוהה לפי התקנות - האם וידאת כי בוצע סקר סיכונים?</t>
  </si>
  <si>
    <t>האם וידאת כי נבחן הצורך בעדכון נוהל אבטחת המידע אחת לשנה?</t>
  </si>
  <si>
    <t>האם וידאת כי נבחן בחברה הצורך בעדכון מסמך הגדרות המאגר בעקבות סקר סיכונים/מבדקי חדירות אחת לשנה?</t>
  </si>
  <si>
    <t>האם בנית תכנית לבקרה שוטפת על עמידת מאגרי המידע בחברה בהוראות חוק הגנת הפרטיות והתקנות?</t>
  </si>
  <si>
    <t>האם קיבלת את ממצאי פעולות הבקרה?</t>
  </si>
  <si>
    <t>האם הצגת להנהלת החברה את ממצאי פעולות הבקרה?</t>
  </si>
  <si>
    <t>האם הצעת תכנית לתיקון הליקויים בהמשך לממצאי הבקרה?</t>
  </si>
  <si>
    <t>האם הצעותייך לתיקון ליקויים התקבלו על ידי הנהלת החברה?</t>
  </si>
  <si>
    <t>האם וידאת קיומו של נוהל בחברה לטיפול בפניות הנוגעות לתחום הגנת הפרטיות?</t>
  </si>
  <si>
    <t>האם וידאת כי הפניות בתחום הגנת הפרטיות מטופלות?</t>
  </si>
  <si>
    <t>האם בנית תכנית הדרכה לעובדים?</t>
  </si>
  <si>
    <t>האם במסגרת תכנית ההדרכה הגדרת שעובדים חדשים יעברו הדרכה בנושא אבטחת מידע והגנת פרטיות בטרם יקבלו גישה למערכות מאגרי המידע של החברה?</t>
  </si>
  <si>
    <t>האם וידאת כי ההדרכות בוצעו כנדרש לפי תוכנית ההדרכה?</t>
  </si>
  <si>
    <t>האם וידאת כי הגורם שמעביר את ההדרכה הוא בעל ההכשרה והידע המתאימים להעברת כלל התכנים שקבעתי בתכנית ההדרכה?</t>
  </si>
  <si>
    <t xml:space="preserve">האם במסגרת תכנית ההדרכה וידאת כי היא כוללת גם התייחסות לאיסור על שימוש במידע מהמאגרים בניגוד להרשאות (שליפות מידע)? </t>
  </si>
  <si>
    <t>בהתאם להמלצת הרשות - במידה ונמצא כי המידע השמור רב מן הנדרש, האם נבחנה אפשרות לביצוע פעולות לצמצום המידע</t>
  </si>
  <si>
    <t>האם קיימת פגישה עם הנהלת החברה בה הצגת את התכנית?</t>
  </si>
  <si>
    <t>4. האם דירקטוריון החברה קיים דיון בעקרונות המרכזיים בנוהל אבטחת המידע הארגוני?</t>
  </si>
  <si>
    <t xml:space="preserve">6. האם דירקטוריון החברה קיים דיון רבעוני או שנתי, על פי רמת האבטחה של המאגר לפי התקנות, באירועי אבטחת המידע שהתרחשו בארגון? </t>
  </si>
  <si>
    <t xml:space="preserve">7. האם דירקטוריון החברה קיים דיון בתוצאות הביקורת התקופתית בנוגע לעמידה בתקנות? </t>
  </si>
  <si>
    <t xml:space="preserve">הנחיית הרשות להגנת הפרטיות בנושא אחריות דירקטוריון        </t>
  </si>
  <si>
    <r>
      <t xml:space="preserve">קובץ זה נועד לשמש ככלי עזר פנימי לממונה על הגנת הפרטיות (DPO) במסגרת עבודתו בארגון. מטרתו להציע סדר, מבנה וכלים תומכים לביצוע משימות שונות הנגזרות מהוראות חוק הגנת הפרטיות, התשמ"א–1981, ותקנות הגנת הפרטיות (אבטחת מידע), התשע"ז–2017 והנחיות הרשות להגנת הפרטיות. עם זאת, יש לראות בקובץ זה </t>
    </r>
    <r>
      <rPr>
        <b/>
        <sz val="12"/>
        <color theme="1"/>
        <rFont val="Calibri"/>
        <family val="2"/>
      </rPr>
      <t>כלי עזר בלבד</t>
    </r>
    <r>
      <rPr>
        <sz val="12"/>
        <color theme="1"/>
        <rFont val="Calibri"/>
        <family val="2"/>
      </rPr>
      <t xml:space="preserve">, שאינו בא במקום ניתוח פרטני של חובות הארגון לפי הדין, בהתאם לאופי פעילותו, סוגי המאגרים שברשותו, ורמת הסיכון הכרוכה בטיפול במידע אישי.
יודגש כי:
</t>
    </r>
    <r>
      <rPr>
        <b/>
        <sz val="12"/>
        <color theme="1"/>
        <rFont val="Calibri"/>
        <family val="2"/>
      </rPr>
      <t>אין</t>
    </r>
    <r>
      <rPr>
        <sz val="12"/>
        <color theme="1"/>
        <rFont val="Calibri"/>
        <family val="2"/>
      </rPr>
      <t xml:space="preserve"> במסמך זה כדי ליצור חובה משפטית חדשה או למצות את דרישות החוק והתקנות.
מילוי המשימות הכלולות בקובץ אינה מהווה ראיה או אסמכתא לכך שהארגון עמד בדרישות הדין.
השימוש בקובץ זה נעשה באחריותו הבלעדית של הארגון, והרשות להגנת הפרטיות אינה נושאת באחריות לכל נזק, טעות או מחדל שייגרמו עקב הסתמכות עליו.
לפיכך, </t>
    </r>
    <r>
      <rPr>
        <b/>
        <sz val="12"/>
        <color theme="1"/>
        <rFont val="Calibri"/>
        <family val="2"/>
      </rPr>
      <t xml:space="preserve">מומלץ להיעזר בייעוץ משפטי </t>
    </r>
    <r>
      <rPr>
        <sz val="12"/>
        <color theme="1"/>
        <rFont val="Calibri"/>
        <family val="2"/>
      </rPr>
      <t xml:space="preserve">או </t>
    </r>
    <r>
      <rPr>
        <b/>
        <sz val="12"/>
        <color theme="1"/>
        <rFont val="Calibri"/>
        <family val="2"/>
      </rPr>
      <t>מקצועי</t>
    </r>
    <r>
      <rPr>
        <sz val="12"/>
        <color theme="1"/>
        <rFont val="Calibri"/>
        <family val="2"/>
      </rPr>
      <t xml:space="preserve"> מתאים לשם בחינת חובות הארגון ויישומן בפועל.</t>
    </r>
  </si>
  <si>
    <r>
      <t>האם נבחנה אפשרות להעמדת האופציה לנושאי מידע לחזור בהם מהסכמתם?</t>
    </r>
    <r>
      <rPr>
        <sz val="12"/>
        <color rgb="FFC00000"/>
        <rFont val="Calibri"/>
        <family val="2"/>
      </rPr>
      <t xml:space="preserve"> </t>
    </r>
  </si>
  <si>
    <t>תיקון ליקויים למילוי על ידי DPO</t>
  </si>
  <si>
    <r>
      <t xml:space="preserve">בהתאם לתשובות </t>
    </r>
    <r>
      <rPr>
        <b/>
        <sz val="12"/>
        <color theme="1"/>
        <rFont val="Calibri"/>
        <family val="2"/>
      </rPr>
      <t>מעלה</t>
    </r>
    <r>
      <rPr>
        <sz val="12"/>
        <color theme="1"/>
        <rFont val="Calibri"/>
        <family val="2"/>
      </rPr>
      <t>, ב</t>
    </r>
    <r>
      <rPr>
        <b/>
        <sz val="12"/>
        <color rgb="FF7030A0"/>
        <rFont val="Calibri"/>
        <family val="2"/>
      </rPr>
      <t>סוגיה לבחינה</t>
    </r>
    <r>
      <rPr>
        <sz val="12"/>
        <color theme="1"/>
        <rFont val="Calibri"/>
        <family val="2"/>
      </rPr>
      <t>, נא לענות על השאלות בטבלה עם כותרת:</t>
    </r>
  </si>
  <si>
    <r>
      <t xml:space="preserve">האם מספר בני האדם על אודותיהם קיים מידע בעל רגישות מיוחדת במאגר עולה על 100,000? 
</t>
    </r>
    <r>
      <rPr>
        <b/>
        <sz val="12"/>
        <color rgb="FF996600"/>
        <rFont val="Calibri"/>
        <family val="2"/>
      </rPr>
      <t>אם התשובה היא "לא" אזי הסעיפים א', ב', ג', ד' ו-ה' לא רלוונטיים.</t>
    </r>
    <r>
      <rPr>
        <b/>
        <sz val="12"/>
        <color rgb="FFD5D525"/>
        <rFont val="Calibri"/>
        <family val="2"/>
      </rPr>
      <t xml:space="preserve"> </t>
    </r>
    <r>
      <rPr>
        <b/>
        <sz val="12"/>
        <color theme="4" tint="-0.249977111117893"/>
        <rFont val="Calibri"/>
        <family val="2"/>
      </rPr>
      <t>אם התשובה היא "כן" אזי לבחור מהרשימה של כל אחד מהסעיפים את התשובות במענה</t>
    </r>
  </si>
  <si>
    <r>
      <rPr>
        <b/>
        <i/>
        <sz val="12"/>
        <rFont val="Calibri"/>
        <family val="2"/>
      </rPr>
      <t xml:space="preserve">א. </t>
    </r>
    <r>
      <rPr>
        <i/>
        <sz val="12"/>
        <rFont val="Calibri"/>
        <family val="2"/>
      </rPr>
      <t>האם הוגשה הודעה לרשות להגנת הפרטיות בדבר מאגר המידע?</t>
    </r>
  </si>
  <si>
    <r>
      <rPr>
        <b/>
        <i/>
        <sz val="12"/>
        <rFont val="Calibri"/>
        <family val="2"/>
      </rPr>
      <t>ב.</t>
    </r>
    <r>
      <rPr>
        <i/>
        <sz val="12"/>
        <rFont val="Calibri"/>
        <family val="2"/>
      </rPr>
      <t xml:space="preserve"> זהות בעל השליטה במאגר</t>
    </r>
  </si>
  <si>
    <r>
      <rPr>
        <b/>
        <i/>
        <sz val="12"/>
        <rFont val="Calibri"/>
        <family val="2"/>
      </rPr>
      <t>ג.</t>
    </r>
    <r>
      <rPr>
        <i/>
        <sz val="12"/>
        <rFont val="Calibri"/>
        <family val="2"/>
      </rPr>
      <t xml:space="preserve"> מענו של בעל השליטה ודרכי התקשרות עמו</t>
    </r>
  </si>
  <si>
    <r>
      <rPr>
        <b/>
        <i/>
        <sz val="12"/>
        <rFont val="Calibri"/>
        <family val="2"/>
      </rPr>
      <t>ד.</t>
    </r>
    <r>
      <rPr>
        <i/>
        <sz val="12"/>
        <rFont val="Calibri"/>
        <family val="2"/>
      </rPr>
      <t xml:space="preserve"> זהות הממונה על הגנת הפרטיות אם הארגון מחויב למנותו, ודרכי ההתקשרות עמו</t>
    </r>
  </si>
  <si>
    <r>
      <rPr>
        <b/>
        <i/>
        <sz val="12"/>
        <rFont val="Calibri"/>
        <family val="2"/>
      </rPr>
      <t>ה.</t>
    </r>
    <r>
      <rPr>
        <i/>
        <sz val="12"/>
        <rFont val="Calibri"/>
        <family val="2"/>
      </rPr>
      <t xml:space="preserve"> מסמך הגדרות המאגר לפי תקנות הגנת הפרטיות (אבטחת מידע), התשע"ז - 2017</t>
    </r>
  </si>
  <si>
    <t xml:space="preserve">במידה שמאגר המידע סווג ברמת אבטחה בינונית או גבוהה - האם במסגרת תכנית ההדרכה קבעת כי כל עובד יעבור הדרכה שוטפת אחת לשנתיים בנוגע לאבטחת מידע והגנת הפרטיות, לגבי נוהל אבטחת מידע? </t>
  </si>
  <si>
    <r>
      <t xml:space="preserve">אם כן מדובר באירוע שמחויב בדיווח, נא להיכנס לקישור 
</t>
    </r>
    <r>
      <rPr>
        <b/>
        <sz val="12"/>
        <color theme="4" tint="-0.249977111117893"/>
        <rFont val="Calibri"/>
        <family val="2"/>
      </rPr>
      <t xml:space="preserve">(יש להעתיק את תוכן </t>
    </r>
    <r>
      <rPr>
        <b/>
        <u/>
        <sz val="12"/>
        <color theme="4" tint="-0.249977111117893"/>
        <rFont val="Calibri"/>
        <family val="2"/>
      </rPr>
      <t>התא</t>
    </r>
    <r>
      <rPr>
        <b/>
        <sz val="12"/>
        <color theme="4" tint="-0.249977111117893"/>
        <rFont val="Calibri"/>
        <family val="2"/>
      </rPr>
      <t xml:space="preserve"> לדפדפן ולא להיכנס ישירות) </t>
    </r>
  </si>
  <si>
    <r>
      <t>5. האם דירקטוריון החברה קיים דיון בתוצאות סקר סיכונים ומבדקי חדירות, לרבות בפעולות הנדרשות לתיקון הליקויים שהתגלו?</t>
    </r>
    <r>
      <rPr>
        <b/>
        <sz val="12"/>
        <color theme="1"/>
        <rFont val="Calibri"/>
        <family val="2"/>
      </rPr>
      <t xml:space="preserve"> </t>
    </r>
  </si>
  <si>
    <t>האם וידאת כי הנתונים מוצגים בצורה מובנת ופשוטה?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</si>
</sst>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rial"/>
      <family val="2"/>
      <charset val="177"/>
      <scheme val="minor"/>
    </font>
    <font>
      <u/>
      <sz val="11"/>
      <color theme="10"/>
      <name val="Arial"/>
      <family val="2"/>
      <charset val="177"/>
      <scheme val="minor"/>
    </font>
    <font>
      <sz val="8"/>
      <name val="Arial"/>
      <family val="2"/>
      <charset val="177"/>
      <scheme val="minor"/>
    </font>
    <font>
      <b/>
      <sz val="12"/>
      <color theme="4" tint="-0.499984740745262"/>
      <name val="Narkisim"/>
      <family val="2"/>
    </font>
    <font>
      <b/>
      <sz val="12"/>
      <color theme="1"/>
      <name val="Narkisim"/>
      <family val="2"/>
    </font>
    <font>
      <sz val="12"/>
      <color theme="1"/>
      <name val="Narkisim"/>
      <family val="2"/>
    </font>
    <font>
      <sz val="12"/>
      <color theme="1"/>
      <name val="Calibri"/>
      <family val="2"/>
    </font>
    <font>
      <b/>
      <sz val="24"/>
      <color theme="4" tint="-0.499984740745262"/>
      <name val="Calibri"/>
      <family val="2"/>
    </font>
    <font>
      <b/>
      <u/>
      <sz val="12"/>
      <color theme="8" tint="-0.499984740745262"/>
      <name val="Calibri"/>
      <family val="2"/>
    </font>
    <font>
      <b/>
      <sz val="12"/>
      <color theme="8" tint="-0.499984740745262"/>
      <name val="Calibri"/>
      <family val="2"/>
    </font>
    <font>
      <sz val="12"/>
      <color theme="8" tint="-0.249977111117893"/>
      <name val="Calibri"/>
      <family val="2"/>
    </font>
    <font>
      <b/>
      <sz val="12"/>
      <color theme="1"/>
      <name val="Calibri"/>
      <family val="2"/>
    </font>
    <font>
      <b/>
      <sz val="12"/>
      <color theme="0"/>
      <name val="Calibri"/>
      <family val="2"/>
    </font>
    <font>
      <u/>
      <sz val="12"/>
      <color theme="4" tint="-0.249977111117893"/>
      <name val="Calibri"/>
      <family val="2"/>
    </font>
    <font>
      <u/>
      <sz val="12"/>
      <color theme="10"/>
      <name val="Calibri"/>
      <family val="2"/>
    </font>
    <font>
      <b/>
      <u/>
      <sz val="24"/>
      <color theme="4" tint="-0.499984740745262"/>
      <name val="Calibri"/>
      <family val="2"/>
    </font>
    <font>
      <b/>
      <sz val="16"/>
      <color theme="4" tint="-0.249977111117893"/>
      <name val="Calibri"/>
      <family val="2"/>
    </font>
    <font>
      <sz val="12"/>
      <color rgb="FFC00000"/>
      <name val="Calibri"/>
      <family val="2"/>
    </font>
    <font>
      <sz val="12"/>
      <name val="Calibri"/>
      <family val="2"/>
    </font>
    <font>
      <b/>
      <sz val="12"/>
      <color rgb="FF7030A0"/>
      <name val="Calibri"/>
      <family val="2"/>
    </font>
    <font>
      <b/>
      <sz val="12"/>
      <color rgb="FF996600"/>
      <name val="Calibri"/>
      <family val="2"/>
    </font>
    <font>
      <b/>
      <sz val="12"/>
      <color rgb="FFD5D525"/>
      <name val="Calibri"/>
      <family val="2"/>
    </font>
    <font>
      <b/>
      <sz val="12"/>
      <color theme="4" tint="-0.249977111117893"/>
      <name val="Calibri"/>
      <family val="2"/>
    </font>
    <font>
      <i/>
      <sz val="12"/>
      <name val="Calibri"/>
      <family val="2"/>
    </font>
    <font>
      <b/>
      <i/>
      <sz val="12"/>
      <name val="Calibri"/>
      <family val="2"/>
    </font>
    <font>
      <b/>
      <u/>
      <sz val="12"/>
      <name val="Calibri"/>
      <family val="2"/>
    </font>
    <font>
      <sz val="12"/>
      <color rgb="FFFF0000"/>
      <name val="Calibri"/>
      <family val="2"/>
    </font>
    <font>
      <b/>
      <sz val="12"/>
      <color rgb="FFC00000"/>
      <name val="Calibri"/>
      <family val="2"/>
    </font>
    <font>
      <b/>
      <u/>
      <sz val="12"/>
      <color theme="4" tint="-0.249977111117893"/>
      <name val="Calibri"/>
      <family val="2"/>
    </font>
  </fonts>
  <fills count="12">
    <fill>
      <patternFill patternType="none"/>
    </fill>
    <fill>
      <patternFill patternType="gray125"/>
    </fill>
    <fill>
      <patternFill patternType="solid">
        <fgColor theme="0" tint="-4.9989318521683403E-2"/>
        <bgColor indexed="64"/>
      </patternFill>
    </fill>
    <fill>
      <patternFill patternType="gray0625"/>
    </fill>
    <fill>
      <patternFill patternType="solid">
        <fgColor theme="0"/>
        <bgColor indexed="64"/>
      </patternFill>
    </fill>
    <fill>
      <patternFill patternType="solid">
        <fgColor theme="8" tint="0.59999389629810485"/>
        <bgColor indexed="64"/>
      </patternFill>
    </fill>
    <fill>
      <patternFill patternType="solid">
        <fgColor theme="8" tint="-0.499984740745262"/>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11">
    <xf numFmtId="0" fontId="0" fillId="0" borderId="0" xfId="0"/>
    <xf numFmtId="0" fontId="4" fillId="2" borderId="0" xfId="0" applyFont="1" applyFill="1" applyAlignment="1">
      <alignment vertical="center" wrapText="1"/>
    </xf>
    <xf numFmtId="0" fontId="5" fillId="2" borderId="0" xfId="0" applyFont="1" applyFill="1" applyAlignment="1">
      <alignment vertical="center" wrapText="1"/>
    </xf>
    <xf numFmtId="0" fontId="5" fillId="2" borderId="0" xfId="0" applyFont="1" applyFill="1" applyAlignment="1">
      <alignment horizontal="center" vertical="center" wrapText="1"/>
    </xf>
    <xf numFmtId="0" fontId="5" fillId="2" borderId="0" xfId="0" applyFont="1" applyFill="1" applyAlignment="1">
      <alignment vertical="center" wrapText="1" readingOrder="2"/>
    </xf>
    <xf numFmtId="0" fontId="5" fillId="2" borderId="0" xfId="0" applyFont="1" applyFill="1" applyAlignment="1">
      <alignment horizontal="justify" vertical="center" wrapText="1" readingOrder="2"/>
    </xf>
    <xf numFmtId="0" fontId="5" fillId="2" borderId="0" xfId="0" applyFont="1" applyFill="1" applyAlignment="1">
      <alignment horizontal="right" vertical="center" wrapText="1" readingOrder="2"/>
    </xf>
    <xf numFmtId="0" fontId="3" fillId="2" borderId="0" xfId="0" applyFont="1" applyFill="1" applyAlignment="1" applyProtection="1">
      <alignment vertical="center" wrapText="1" readingOrder="2"/>
    </xf>
    <xf numFmtId="0" fontId="5" fillId="2" borderId="0" xfId="0" applyFont="1" applyFill="1" applyBorder="1" applyAlignment="1">
      <alignment vertical="center" wrapText="1"/>
    </xf>
    <xf numFmtId="0" fontId="5" fillId="2" borderId="0" xfId="0" applyFont="1" applyFill="1" applyAlignment="1">
      <alignment horizontal="right" vertical="center"/>
    </xf>
    <xf numFmtId="0" fontId="5" fillId="2" borderId="0" xfId="0" applyFont="1" applyFill="1" applyAlignment="1">
      <alignment horizontal="right" vertical="center" readingOrder="2"/>
    </xf>
    <xf numFmtId="0" fontId="4" fillId="2" borderId="0" xfId="0" applyFont="1" applyFill="1" applyAlignment="1">
      <alignment horizontal="right" vertical="center" wrapText="1" readingOrder="2"/>
    </xf>
    <xf numFmtId="0" fontId="5" fillId="2" borderId="0" xfId="0" applyFont="1" applyFill="1" applyAlignment="1">
      <alignment wrapText="1"/>
    </xf>
    <xf numFmtId="0" fontId="5" fillId="2" borderId="0" xfId="0" applyFont="1" applyFill="1" applyAlignment="1">
      <alignment horizontal="right"/>
    </xf>
    <xf numFmtId="0" fontId="6" fillId="2" borderId="0" xfId="0" applyFont="1" applyFill="1" applyAlignment="1">
      <alignment horizontal="right" vertical="center" readingOrder="2"/>
    </xf>
    <xf numFmtId="0" fontId="9" fillId="10" borderId="0" xfId="1" applyFont="1" applyFill="1" applyBorder="1" applyAlignment="1" applyProtection="1">
      <alignment horizontal="center" vertical="center" readingOrder="2"/>
      <protection locked="0"/>
    </xf>
    <xf numFmtId="0" fontId="10" fillId="10" borderId="0" xfId="0" applyFont="1" applyFill="1" applyBorder="1" applyAlignment="1" applyProtection="1">
      <alignment horizontal="center" vertical="center" readingOrder="2"/>
      <protection locked="0"/>
    </xf>
    <xf numFmtId="0" fontId="6" fillId="2" borderId="0" xfId="0" applyFont="1" applyFill="1" applyAlignment="1">
      <alignment horizontal="right" vertical="center"/>
    </xf>
    <xf numFmtId="0" fontId="6" fillId="2" borderId="0" xfId="0" applyFont="1" applyFill="1" applyAlignment="1">
      <alignment wrapText="1"/>
    </xf>
    <xf numFmtId="14" fontId="6" fillId="0" borderId="1" xfId="0" applyNumberFormat="1"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14" fontId="6" fillId="0" borderId="1" xfId="0" applyNumberFormat="1" applyFont="1" applyBorder="1" applyAlignment="1" applyProtection="1">
      <alignment horizontal="center" vertical="center" wrapText="1"/>
    </xf>
    <xf numFmtId="0" fontId="11" fillId="2" borderId="0" xfId="0" applyFont="1" applyFill="1" applyAlignment="1">
      <alignment horizontal="center" vertical="center" wrapText="1"/>
    </xf>
    <xf numFmtId="0" fontId="13" fillId="2" borderId="0" xfId="1" applyFont="1" applyFill="1" applyAlignment="1">
      <alignment horizontal="center" vertical="center" wrapText="1"/>
    </xf>
    <xf numFmtId="0" fontId="9" fillId="10" borderId="0" xfId="0" applyFont="1" applyFill="1" applyBorder="1" applyAlignment="1">
      <alignment horizontal="center" vertical="center"/>
    </xf>
    <xf numFmtId="0" fontId="9" fillId="10" borderId="3" xfId="0" applyFont="1" applyFill="1" applyBorder="1" applyAlignment="1">
      <alignment horizontal="center" vertical="center"/>
    </xf>
    <xf numFmtId="0" fontId="5" fillId="6" borderId="5" xfId="0" applyFont="1" applyFill="1" applyBorder="1" applyAlignment="1">
      <alignment horizontal="right" vertical="center" readingOrder="2"/>
    </xf>
    <xf numFmtId="0" fontId="5" fillId="6" borderId="7" xfId="0" applyFont="1" applyFill="1" applyBorder="1" applyAlignment="1">
      <alignment horizontal="right" vertical="center" readingOrder="2"/>
    </xf>
    <xf numFmtId="0" fontId="5" fillId="6" borderId="8" xfId="0" applyFont="1" applyFill="1" applyBorder="1" applyAlignment="1">
      <alignment horizontal="right" vertical="center" readingOrder="2"/>
    </xf>
    <xf numFmtId="0" fontId="5" fillId="6" borderId="9" xfId="0" applyFont="1" applyFill="1" applyBorder="1" applyAlignment="1">
      <alignment horizontal="right" vertical="center" readingOrder="2"/>
    </xf>
    <xf numFmtId="0" fontId="5" fillId="6" borderId="2" xfId="0" applyFont="1" applyFill="1" applyBorder="1" applyAlignment="1">
      <alignment horizontal="right" vertical="center" readingOrder="2"/>
    </xf>
    <xf numFmtId="0" fontId="5" fillId="6" borderId="4" xfId="0" applyFont="1" applyFill="1" applyBorder="1" applyAlignment="1">
      <alignment horizontal="right" vertical="center" readingOrder="2"/>
    </xf>
    <xf numFmtId="0" fontId="6" fillId="2" borderId="0" xfId="0" applyFont="1" applyFill="1" applyAlignment="1">
      <alignment vertical="center" wrapText="1"/>
    </xf>
    <xf numFmtId="0" fontId="14" fillId="2" borderId="0" xfId="1" applyFont="1" applyFill="1" applyAlignment="1">
      <alignment vertical="center" wrapText="1"/>
    </xf>
    <xf numFmtId="0" fontId="12" fillId="7" borderId="1" xfId="0" applyFont="1" applyFill="1" applyBorder="1" applyAlignment="1">
      <alignment horizontal="center" vertical="center" wrapText="1"/>
    </xf>
    <xf numFmtId="0" fontId="6" fillId="0" borderId="1" xfId="0" applyFont="1" applyBorder="1" applyAlignment="1">
      <alignment horizontal="right" vertical="center" wrapText="1" readingOrder="2"/>
    </xf>
    <xf numFmtId="0" fontId="6" fillId="4" borderId="1" xfId="0" applyFont="1" applyFill="1" applyBorder="1" applyAlignment="1">
      <alignment horizontal="right" vertical="center" wrapText="1" readingOrder="2"/>
    </xf>
    <xf numFmtId="0" fontId="6" fillId="2" borderId="0" xfId="0" applyFont="1" applyFill="1" applyAlignment="1">
      <alignment horizontal="center" vertical="center" wrapText="1"/>
    </xf>
    <xf numFmtId="0" fontId="6" fillId="0" borderId="1" xfId="0" applyNumberFormat="1" applyFont="1" applyBorder="1" applyAlignment="1" applyProtection="1">
      <alignment horizontal="center" vertical="center" wrapText="1"/>
      <protection locked="0"/>
    </xf>
    <xf numFmtId="0" fontId="14" fillId="2" borderId="0" xfId="1" applyFont="1" applyFill="1" applyAlignment="1">
      <alignment horizontal="center" vertical="center" wrapText="1"/>
    </xf>
    <xf numFmtId="0" fontId="6" fillId="3" borderId="1" xfId="0" applyFont="1" applyFill="1" applyBorder="1" applyAlignment="1">
      <alignment horizontal="center" vertical="center" wrapText="1"/>
    </xf>
    <xf numFmtId="0" fontId="18" fillId="0" borderId="1" xfId="0" applyFont="1" applyBorder="1" applyAlignment="1">
      <alignment horizontal="right" vertical="center" wrapText="1" readingOrder="1"/>
    </xf>
    <xf numFmtId="14" fontId="6" fillId="0" borderId="1" xfId="0" applyNumberFormat="1" applyFont="1" applyFill="1" applyBorder="1" applyAlignment="1" applyProtection="1">
      <alignment horizontal="center" vertical="center" wrapText="1"/>
      <protection locked="0"/>
    </xf>
    <xf numFmtId="0" fontId="6" fillId="0" borderId="1" xfId="0" applyFont="1" applyFill="1" applyBorder="1" applyAlignment="1" applyProtection="1">
      <alignment horizontal="center" vertical="center" wrapText="1"/>
      <protection locked="0"/>
    </xf>
    <xf numFmtId="0" fontId="6" fillId="0" borderId="1" xfId="0" applyFont="1" applyFill="1" applyBorder="1" applyAlignment="1">
      <alignment horizontal="right" vertical="center" wrapText="1"/>
    </xf>
    <xf numFmtId="14" fontId="6" fillId="0" borderId="1" xfId="0" applyNumberFormat="1" applyFont="1" applyFill="1" applyBorder="1" applyAlignment="1">
      <alignment horizontal="center" vertical="center" wrapText="1"/>
    </xf>
    <xf numFmtId="0" fontId="6" fillId="0" borderId="1" xfId="0" applyFont="1" applyFill="1" applyBorder="1" applyAlignment="1">
      <alignment horizontal="right" vertical="center" wrapText="1" readingOrder="2"/>
    </xf>
    <xf numFmtId="0" fontId="6" fillId="0" borderId="1" xfId="0" applyFont="1" applyBorder="1" applyAlignment="1" applyProtection="1">
      <alignment horizontal="center" vertical="center" wrapText="1" readingOrder="2"/>
    </xf>
    <xf numFmtId="0" fontId="6" fillId="0" borderId="1" xfId="0" applyFont="1" applyFill="1" applyBorder="1" applyAlignment="1" applyProtection="1">
      <alignment horizontal="center" vertical="center" wrapText="1" readingOrder="2"/>
    </xf>
    <xf numFmtId="0" fontId="6" fillId="0" borderId="1" xfId="0" applyFont="1" applyBorder="1" applyAlignment="1" applyProtection="1">
      <alignment horizontal="right" vertical="center" wrapText="1"/>
    </xf>
    <xf numFmtId="0" fontId="6" fillId="0" borderId="1" xfId="0" applyFont="1" applyBorder="1" applyAlignment="1">
      <alignment vertical="center" wrapText="1"/>
    </xf>
    <xf numFmtId="14"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justify" vertical="center" wrapText="1" readingOrder="2"/>
    </xf>
    <xf numFmtId="0" fontId="6" fillId="2" borderId="0" xfId="0" applyFont="1" applyFill="1" applyAlignment="1">
      <alignment vertical="center" wrapText="1" readingOrder="2"/>
    </xf>
    <xf numFmtId="0" fontId="6" fillId="2" borderId="0" xfId="0" applyFont="1" applyFill="1" applyBorder="1" applyAlignment="1">
      <alignment horizontal="center" vertical="center" wrapText="1" readingOrder="2"/>
    </xf>
    <xf numFmtId="0" fontId="6" fillId="2" borderId="0" xfId="0" applyFont="1" applyFill="1" applyBorder="1" applyAlignment="1" applyProtection="1">
      <alignment horizontal="center" vertical="center" wrapText="1" readingOrder="2"/>
      <protection locked="0"/>
    </xf>
    <xf numFmtId="0" fontId="26" fillId="2" borderId="0" xfId="0" applyFont="1" applyFill="1" applyAlignment="1">
      <alignment vertical="center" wrapText="1" readingOrder="2"/>
    </xf>
    <xf numFmtId="0" fontId="6" fillId="0" borderId="1" xfId="0" applyFont="1" applyFill="1" applyBorder="1" applyAlignment="1" applyProtection="1">
      <alignment horizontal="center" vertical="center" wrapText="1" readingOrder="2"/>
      <protection locked="0"/>
    </xf>
    <xf numFmtId="0" fontId="11" fillId="0" borderId="1" xfId="0" applyFont="1" applyFill="1" applyBorder="1" applyAlignment="1">
      <alignment vertical="center" wrapText="1" readingOrder="2"/>
    </xf>
    <xf numFmtId="0" fontId="6" fillId="0" borderId="1" xfId="0" applyFont="1" applyFill="1" applyBorder="1" applyAlignment="1">
      <alignment vertical="center" wrapText="1" readingOrder="2"/>
    </xf>
    <xf numFmtId="0" fontId="12" fillId="11" borderId="1" xfId="0" applyFont="1" applyFill="1" applyBorder="1" applyAlignment="1">
      <alignment horizontal="center" vertical="center" wrapText="1" readingOrder="2"/>
    </xf>
    <xf numFmtId="0" fontId="18" fillId="0" borderId="1" xfId="0" applyFont="1" applyFill="1" applyBorder="1" applyAlignment="1" applyProtection="1">
      <alignment horizontal="center" vertical="center" wrapText="1"/>
      <protection locked="0"/>
    </xf>
    <xf numFmtId="0" fontId="23" fillId="0" borderId="1" xfId="0" applyFont="1" applyFill="1" applyBorder="1" applyAlignment="1">
      <alignment horizontal="right" vertical="center" wrapText="1" indent="1" readingOrder="2"/>
    </xf>
    <xf numFmtId="0" fontId="27" fillId="2" borderId="0" xfId="0" applyFont="1" applyFill="1" applyBorder="1" applyAlignment="1">
      <alignment horizontal="center" vertical="center" wrapText="1"/>
    </xf>
    <xf numFmtId="0" fontId="6" fillId="0" borderId="1" xfId="0" applyFont="1" applyBorder="1" applyAlignment="1" applyProtection="1">
      <alignment vertical="center" wrapText="1"/>
      <protection locked="0"/>
    </xf>
    <xf numFmtId="0" fontId="6" fillId="0" borderId="1" xfId="0" applyFont="1" applyBorder="1" applyAlignment="1" applyProtection="1">
      <alignment horizontal="right" vertical="center" wrapText="1" readingOrder="2"/>
      <protection locked="0"/>
    </xf>
    <xf numFmtId="14" fontId="6" fillId="0" borderId="1" xfId="0" applyNumberFormat="1" applyFont="1" applyBorder="1" applyAlignment="1" applyProtection="1">
      <alignment vertical="center" wrapText="1"/>
      <protection locked="0"/>
    </xf>
    <xf numFmtId="0" fontId="25" fillId="2" borderId="0" xfId="0" applyFont="1" applyFill="1" applyAlignment="1">
      <alignment horizontal="center" vertical="center" wrapText="1"/>
    </xf>
    <xf numFmtId="0" fontId="6" fillId="4" borderId="1" xfId="0" applyFont="1" applyFill="1" applyBorder="1" applyAlignment="1" applyProtection="1">
      <alignment horizontal="right" vertical="center" wrapText="1" readingOrder="2"/>
      <protection locked="0"/>
    </xf>
    <xf numFmtId="0" fontId="6" fillId="0" borderId="1" xfId="0" applyFont="1" applyBorder="1" applyAlignment="1" applyProtection="1">
      <alignment horizontal="center" vertical="center" wrapText="1"/>
    </xf>
    <xf numFmtId="0" fontId="12" fillId="7" borderId="1" xfId="0" applyFont="1" applyFill="1" applyBorder="1" applyAlignment="1">
      <alignment horizontal="center" vertical="center" wrapText="1"/>
    </xf>
    <xf numFmtId="0" fontId="5" fillId="9" borderId="5" xfId="0" applyFont="1" applyFill="1" applyBorder="1" applyAlignment="1">
      <alignment horizontal="center" vertical="center" readingOrder="2"/>
    </xf>
    <xf numFmtId="0" fontId="5" fillId="9" borderId="8" xfId="0" applyFont="1" applyFill="1" applyBorder="1" applyAlignment="1">
      <alignment horizontal="center" vertical="center" readingOrder="2"/>
    </xf>
    <xf numFmtId="0" fontId="5" fillId="9" borderId="2" xfId="0" applyFont="1" applyFill="1" applyBorder="1" applyAlignment="1">
      <alignment horizontal="center" vertical="center" readingOrder="2"/>
    </xf>
    <xf numFmtId="0" fontId="8" fillId="8" borderId="6" xfId="0" applyFont="1" applyFill="1" applyBorder="1" applyAlignment="1" applyProtection="1">
      <alignment horizontal="center" vertical="center" wrapText="1"/>
      <protection locked="0"/>
    </xf>
    <xf numFmtId="0" fontId="8" fillId="8" borderId="0" xfId="0" applyFont="1" applyFill="1" applyBorder="1" applyAlignment="1" applyProtection="1">
      <alignment horizontal="center" vertical="center" wrapText="1"/>
      <protection locked="0"/>
    </xf>
    <xf numFmtId="0" fontId="8" fillId="8" borderId="3" xfId="0" applyFont="1" applyFill="1" applyBorder="1" applyAlignment="1" applyProtection="1">
      <alignment horizontal="center" vertical="center" wrapText="1"/>
      <protection locked="0"/>
    </xf>
    <xf numFmtId="0" fontId="6" fillId="8" borderId="6" xfId="0" applyFont="1" applyFill="1" applyBorder="1" applyAlignment="1">
      <alignment horizontal="center" vertical="center" readingOrder="2"/>
    </xf>
    <xf numFmtId="0" fontId="6" fillId="8" borderId="0" xfId="0" applyFont="1" applyFill="1" applyBorder="1" applyAlignment="1">
      <alignment horizontal="center" vertical="center" readingOrder="2"/>
    </xf>
    <xf numFmtId="0" fontId="6" fillId="8" borderId="3" xfId="0" applyFont="1" applyFill="1" applyBorder="1" applyAlignment="1">
      <alignment horizontal="center" vertical="center" readingOrder="2"/>
    </xf>
    <xf numFmtId="0" fontId="6" fillId="7" borderId="6" xfId="0" applyFont="1" applyFill="1" applyBorder="1" applyAlignment="1">
      <alignment horizontal="center" vertical="center" wrapText="1" readingOrder="2"/>
    </xf>
    <xf numFmtId="0" fontId="6" fillId="7" borderId="0" xfId="0" applyFont="1" applyFill="1" applyBorder="1" applyAlignment="1">
      <alignment horizontal="center" vertical="center" wrapText="1" readingOrder="2"/>
    </xf>
    <xf numFmtId="0" fontId="6" fillId="7" borderId="3" xfId="0" applyFont="1" applyFill="1" applyBorder="1" applyAlignment="1">
      <alignment horizontal="center" vertical="center" wrapText="1" readingOrder="2"/>
    </xf>
    <xf numFmtId="0" fontId="6" fillId="7" borderId="6" xfId="0" applyFont="1" applyFill="1" applyBorder="1" applyAlignment="1">
      <alignment horizontal="center" vertical="center" readingOrder="2"/>
    </xf>
    <xf numFmtId="0" fontId="6" fillId="7" borderId="0" xfId="0" applyFont="1" applyFill="1" applyBorder="1" applyAlignment="1">
      <alignment horizontal="center" vertical="center" readingOrder="2"/>
    </xf>
    <xf numFmtId="0" fontId="6" fillId="7" borderId="3" xfId="0" applyFont="1" applyFill="1" applyBorder="1" applyAlignment="1">
      <alignment horizontal="center" vertical="center" readingOrder="2"/>
    </xf>
    <xf numFmtId="0" fontId="9" fillId="10" borderId="0" xfId="1" applyFont="1" applyFill="1" applyBorder="1" applyAlignment="1">
      <alignment horizontal="right"/>
    </xf>
    <xf numFmtId="0" fontId="4" fillId="9" borderId="7" xfId="0" applyFont="1" applyFill="1" applyBorder="1" applyAlignment="1">
      <alignment horizontal="center" vertical="center" wrapText="1" readingOrder="2"/>
    </xf>
    <xf numFmtId="0" fontId="4" fillId="9" borderId="9" xfId="0" applyFont="1" applyFill="1" applyBorder="1" applyAlignment="1">
      <alignment horizontal="center" vertical="center" wrapText="1" readingOrder="2"/>
    </xf>
    <xf numFmtId="0" fontId="4" fillId="9" borderId="4" xfId="0" applyFont="1" applyFill="1" applyBorder="1" applyAlignment="1">
      <alignment horizontal="center" vertical="center" wrapText="1" readingOrder="2"/>
    </xf>
    <xf numFmtId="0" fontId="9" fillId="10" borderId="3" xfId="1" applyFont="1" applyFill="1" applyBorder="1" applyAlignment="1">
      <alignment horizontal="right"/>
    </xf>
    <xf numFmtId="0" fontId="6" fillId="5" borderId="6" xfId="0" applyFont="1" applyFill="1" applyBorder="1" applyAlignment="1">
      <alignment horizontal="center" vertical="center" wrapText="1" readingOrder="2"/>
    </xf>
    <xf numFmtId="0" fontId="6" fillId="5" borderId="0" xfId="0" applyFont="1" applyFill="1" applyBorder="1" applyAlignment="1">
      <alignment horizontal="center" vertical="center" wrapText="1" readingOrder="2"/>
    </xf>
    <xf numFmtId="0" fontId="6" fillId="5" borderId="3" xfId="0" applyFont="1" applyFill="1" applyBorder="1" applyAlignment="1">
      <alignment horizontal="center" vertical="center" wrapText="1" readingOrder="2"/>
    </xf>
    <xf numFmtId="0" fontId="7" fillId="2" borderId="0" xfId="0" applyFont="1" applyFill="1" applyAlignment="1" applyProtection="1">
      <alignment horizontal="center" vertical="center" wrapText="1" readingOrder="2"/>
    </xf>
    <xf numFmtId="0" fontId="10" fillId="10" borderId="0" xfId="1" applyFont="1" applyFill="1" applyBorder="1" applyAlignment="1">
      <alignment horizontal="right"/>
    </xf>
    <xf numFmtId="0" fontId="10" fillId="10" borderId="0" xfId="1" applyFont="1" applyFill="1" applyBorder="1" applyAlignment="1">
      <alignment horizontal="right" vertical="center"/>
    </xf>
    <xf numFmtId="0" fontId="8" fillId="10" borderId="6" xfId="0" applyFont="1" applyFill="1" applyBorder="1" applyAlignment="1" applyProtection="1">
      <alignment horizontal="right" vertical="center" wrapText="1"/>
      <protection locked="0"/>
    </xf>
    <xf numFmtId="0" fontId="9" fillId="10" borderId="0" xfId="1" applyFont="1" applyFill="1" applyBorder="1" applyAlignment="1" applyProtection="1">
      <alignment horizontal="right" readingOrder="2"/>
      <protection locked="0"/>
    </xf>
    <xf numFmtId="0" fontId="15" fillId="2" borderId="0" xfId="0" applyFont="1" applyFill="1" applyAlignment="1" applyProtection="1">
      <alignment horizontal="center" vertical="center" wrapText="1" readingOrder="2"/>
    </xf>
    <xf numFmtId="0" fontId="13" fillId="2" borderId="0" xfId="1" applyFont="1" applyFill="1" applyAlignment="1">
      <alignment horizontal="center" vertical="center" wrapText="1"/>
    </xf>
    <xf numFmtId="0" fontId="14" fillId="2" borderId="0" xfId="1" applyFont="1" applyFill="1" applyAlignment="1">
      <alignment horizontal="center" vertical="center" wrapText="1"/>
    </xf>
    <xf numFmtId="0" fontId="16" fillId="2" borderId="0" xfId="0" applyFont="1" applyFill="1" applyBorder="1" applyAlignment="1">
      <alignment horizontal="center" vertical="center" wrapText="1"/>
    </xf>
    <xf numFmtId="0" fontId="11" fillId="2" borderId="0" xfId="0" applyFont="1" applyFill="1" applyBorder="1" applyAlignment="1">
      <alignment horizontal="right" vertical="center" wrapText="1" readingOrder="2"/>
    </xf>
    <xf numFmtId="0" fontId="25" fillId="0" borderId="1" xfId="0" applyFont="1" applyFill="1" applyBorder="1" applyAlignment="1">
      <alignment horizontal="right" vertical="center" wrapText="1" indent="2" readingOrder="2"/>
    </xf>
    <xf numFmtId="0" fontId="6" fillId="2" borderId="0" xfId="0" applyFont="1" applyFill="1" applyBorder="1" applyAlignment="1">
      <alignment horizontal="left" vertical="center" wrapText="1" readingOrder="2"/>
    </xf>
    <xf numFmtId="0" fontId="12" fillId="7" borderId="1" xfId="0" applyFont="1" applyFill="1" applyBorder="1" applyAlignment="1">
      <alignment horizontal="center" vertical="center" wrapText="1"/>
    </xf>
    <xf numFmtId="0" fontId="6" fillId="0" borderId="1" xfId="0" applyFont="1" applyFill="1" applyBorder="1" applyAlignment="1">
      <alignment horizontal="center" vertical="center" wrapText="1" readingOrder="2"/>
    </xf>
    <xf numFmtId="0" fontId="14" fillId="2" borderId="0" xfId="1" applyFont="1" applyFill="1" applyAlignment="1">
      <alignment horizontal="right" vertical="center" wrapText="1" readingOrder="2"/>
    </xf>
    <xf numFmtId="0" fontId="16" fillId="2" borderId="0" xfId="0" applyFont="1" applyFill="1" applyAlignment="1">
      <alignment horizontal="center" vertical="center" wrapText="1"/>
    </xf>
  </cellXfs>
  <cellStyles count="2">
    <cellStyle name="Normal" xfId="0" builtinId="0"/>
    <cellStyle name="היפר-קישור" xfId="1" builtinId="8"/>
  </cellStyles>
  <dxfs count="4">
    <dxf>
      <font>
        <color theme="4"/>
      </font>
    </dxf>
    <dxf>
      <font>
        <color theme="5"/>
      </font>
      <fill>
        <patternFill patternType="none">
          <bgColor auto="1"/>
        </patternFill>
      </fill>
    </dxf>
    <dxf>
      <font>
        <color theme="4" tint="-0.24994659260841701"/>
      </font>
    </dxf>
    <dxf>
      <font>
        <color theme="5" tint="-0.24994659260841701"/>
      </font>
    </dxf>
  </dxfs>
  <tableStyles count="0" defaultTableStyle="TableStyleMedium2" defaultPivotStyle="PivotStyleLight16"/>
  <colors>
    <mruColors>
      <color rgb="FFCCECFF"/>
      <color rgb="FFCCFFFF"/>
      <color rgb="FF78BE78"/>
      <color rgb="FF996600"/>
      <color rgb="FFD5D525"/>
      <color rgb="FFE2B4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1512;&#1488;&#1513;&#1497;!A1"/><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svg"/></Relationships>
</file>

<file path=xl/drawings/_rels/drawing2.xml.rels><?xml version="1.0" encoding="UTF-8" standalone="yes"?>
<Relationships xmlns="http://schemas.openxmlformats.org/package/2006/relationships"><Relationship Id="rId8" Type="http://schemas.openxmlformats.org/officeDocument/2006/relationships/hyperlink" Target="#'6. &#1512;&#1497;&#1513;&#1493;&#1501; &#1493;&#1492;&#1493;&#1491;&#1506;&#1492; &#1506;&#1500; &#1502;&#1488;&#1490;&#1512;&#1497;&#1501;'!A1"/><Relationship Id="rId13" Type="http://schemas.openxmlformats.org/officeDocument/2006/relationships/hyperlink" Target="#&#1512;&#1488;&#1513;&#1497;!A1"/><Relationship Id="rId3" Type="http://schemas.openxmlformats.org/officeDocument/2006/relationships/hyperlink" Target="#'3. &#1510;&#1502;&#1497;&#1491;&#1493;&#1514; &#1502;&#1496;&#1512;&#1492; &#1493;&#1510;&#1502;&#1510;&#1493;&#1501; &#1502;&#1497;&#1491;&#1506;'!A1"/><Relationship Id="rId7" Type="http://schemas.openxmlformats.org/officeDocument/2006/relationships/hyperlink" Target="#'5.1 &#1514;&#1497;&#1511;&#1493;&#1503; &#1500;&#1497;&#1511;&#1493;&#1497;&#1497;&#1501;'!A1"/><Relationship Id="rId12" Type="http://schemas.openxmlformats.org/officeDocument/2006/relationships/hyperlink" Target="#'10. &#1488;&#1495;&#1512;&#1497;&#1493;&#1514; &#1491;&#1497;&#1512;&#1511;&#1496;&#1493;&#1512;&#1497;&#1493;&#1503;'!A1"/><Relationship Id="rId2" Type="http://schemas.openxmlformats.org/officeDocument/2006/relationships/hyperlink" Target="#'2.1 &#1505;&#1493;&#1490;&#1497;&#1493;&#1514; &#1504;&#1493;&#1505;&#1508;&#1493;&#1514; &#1500;&#1489;&#1495;&#1497;&#1504;&#1492;'!A1"/><Relationship Id="rId1" Type="http://schemas.openxmlformats.org/officeDocument/2006/relationships/hyperlink" Target="#'2. &#1492;&#1505;&#1499;&#1502;&#1492;'!A1"/><Relationship Id="rId6" Type="http://schemas.openxmlformats.org/officeDocument/2006/relationships/hyperlink" Target="#'5. &#1489;&#1511;&#1512;&#1492; &#1513;&#1493;&#1496;&#1508;&#1514;'!A1"/><Relationship Id="rId11" Type="http://schemas.openxmlformats.org/officeDocument/2006/relationships/hyperlink" Target="#'9. &#1496;&#1497;&#1508;&#1493;&#1500; &#1489;&#1508;&#1504;&#1497;&#1493;&#1514;'!A1"/><Relationship Id="rId5" Type="http://schemas.openxmlformats.org/officeDocument/2006/relationships/hyperlink" Target="#'4.1 &#1505;&#1506;&#1497;&#1508;&#1497; &#1495;&#1493;&#1489;&#1492; &#1502;&#1505;&#1502;&#1498; &#1492;&#1490;&#1491;&#1512;&#1493;&#1514; &#1502;&#1488;&#1490;&#1512;'!A1"/><Relationship Id="rId10" Type="http://schemas.openxmlformats.org/officeDocument/2006/relationships/hyperlink" Target="#'8. &#1506;&#1493;&#1489;&#1491;&#1497;&#1501;'!A1"/><Relationship Id="rId4" Type="http://schemas.openxmlformats.org/officeDocument/2006/relationships/hyperlink" Target="#'4. &#1488;&#1489;&#1496;&#1495;&#1514; &#1502;&#1497;&#1491;&#1506;'!A1"/><Relationship Id="rId9" Type="http://schemas.openxmlformats.org/officeDocument/2006/relationships/hyperlink" Target="#'7. &#1491;&#1497;&#1493;&#1493;&#1512; &#1497;&#1513;&#1497;&#1512;'!A1"/><Relationship Id="rId14"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hyperlink" Target="#'5. &#1489;&#1511;&#1512;&#1492; &#1513;&#1493;&#1496;&#1508;&#1514;'!A1"/><Relationship Id="rId13" Type="http://schemas.openxmlformats.org/officeDocument/2006/relationships/hyperlink" Target="#'9. &#1496;&#1497;&#1508;&#1493;&#1500; &#1489;&#1508;&#1504;&#1497;&#1493;&#1514;'!A1"/><Relationship Id="rId3" Type="http://schemas.openxmlformats.org/officeDocument/2006/relationships/image" Target="../media/image8.svg"/><Relationship Id="rId7" Type="http://schemas.openxmlformats.org/officeDocument/2006/relationships/hyperlink" Target="#'4.1 &#1505;&#1506;&#1497;&#1508;&#1497; &#1495;&#1493;&#1489;&#1492; &#1502;&#1505;&#1502;&#1498; &#1492;&#1490;&#1491;&#1512;&#1493;&#1514; &#1502;&#1488;&#1490;&#1512;'!A1"/><Relationship Id="rId12" Type="http://schemas.openxmlformats.org/officeDocument/2006/relationships/hyperlink" Target="#'8. &#1506;&#1493;&#1489;&#1491;&#1497;&#1501;'!A1"/><Relationship Id="rId2" Type="http://schemas.openxmlformats.org/officeDocument/2006/relationships/image" Target="../media/image7.png"/><Relationship Id="rId16" Type="http://schemas.openxmlformats.org/officeDocument/2006/relationships/image" Target="../media/image6.png"/><Relationship Id="rId1" Type="http://schemas.openxmlformats.org/officeDocument/2006/relationships/hyperlink" Target="#&#1512;&#1488;&#1513;&#1497;!A1"/><Relationship Id="rId6" Type="http://schemas.openxmlformats.org/officeDocument/2006/relationships/hyperlink" Target="#'4. &#1488;&#1489;&#1496;&#1495;&#1514; &#1502;&#1497;&#1491;&#1506;'!A1"/><Relationship Id="rId11" Type="http://schemas.openxmlformats.org/officeDocument/2006/relationships/hyperlink" Target="#'7. &#1491;&#1497;&#1493;&#1493;&#1512; &#1497;&#1513;&#1497;&#1512;'!A1"/><Relationship Id="rId5" Type="http://schemas.openxmlformats.org/officeDocument/2006/relationships/hyperlink" Target="#'3. &#1510;&#1502;&#1497;&#1491;&#1493;&#1514; &#1502;&#1496;&#1512;&#1492; &#1493;&#1510;&#1502;&#1510;&#1493;&#1501; &#1502;&#1497;&#1491;&#1506;'!A1"/><Relationship Id="rId15" Type="http://schemas.openxmlformats.org/officeDocument/2006/relationships/hyperlink" Target="#'1. &#1497;&#1497;&#1491;&#1493;&#1506;'!A1"/><Relationship Id="rId10" Type="http://schemas.openxmlformats.org/officeDocument/2006/relationships/hyperlink" Target="#'6. &#1512;&#1497;&#1513;&#1493;&#1501; &#1493;&#1492;&#1493;&#1491;&#1506;&#1492; &#1506;&#1500; &#1502;&#1488;&#1490;&#1512;&#1497;&#1501;'!A1"/><Relationship Id="rId4" Type="http://schemas.openxmlformats.org/officeDocument/2006/relationships/hyperlink" Target="#'2.1 &#1505;&#1493;&#1490;&#1497;&#1493;&#1514; &#1504;&#1493;&#1505;&#1508;&#1493;&#1514; &#1500;&#1489;&#1495;&#1497;&#1504;&#1492;'!A1"/><Relationship Id="rId9" Type="http://schemas.openxmlformats.org/officeDocument/2006/relationships/hyperlink" Target="#'5.1 &#1514;&#1497;&#1511;&#1493;&#1503; &#1500;&#1497;&#1511;&#1493;&#1497;&#1497;&#1501;'!A1"/><Relationship Id="rId14" Type="http://schemas.openxmlformats.org/officeDocument/2006/relationships/hyperlink" Target="#'10. &#1488;&#1495;&#1512;&#1497;&#1493;&#1514; &#1491;&#1497;&#1512;&#1511;&#1496;&#1493;&#1512;&#1497;&#1493;&#1503;'!A1"/></Relationships>
</file>

<file path=xl/drawings/_rels/drawing4.xml.rels><?xml version="1.0" encoding="UTF-8" standalone="yes"?>
<Relationships xmlns="http://schemas.openxmlformats.org/package/2006/relationships"><Relationship Id="rId8" Type="http://schemas.openxmlformats.org/officeDocument/2006/relationships/hyperlink" Target="#'7. &#1491;&#1497;&#1493;&#1493;&#1512; &#1497;&#1513;&#1497;&#1512;'!A1"/><Relationship Id="rId13" Type="http://schemas.openxmlformats.org/officeDocument/2006/relationships/hyperlink" Target="#&#1512;&#1488;&#1513;&#1497;!A1"/><Relationship Id="rId3" Type="http://schemas.openxmlformats.org/officeDocument/2006/relationships/hyperlink" Target="#'4. &#1488;&#1489;&#1496;&#1495;&#1514; &#1502;&#1497;&#1491;&#1506;'!A1"/><Relationship Id="rId7" Type="http://schemas.openxmlformats.org/officeDocument/2006/relationships/hyperlink" Target="#'6. &#1512;&#1497;&#1513;&#1493;&#1501; &#1493;&#1492;&#1493;&#1491;&#1506;&#1492; &#1506;&#1500; &#1502;&#1488;&#1490;&#1512;&#1497;&#1501;'!A1"/><Relationship Id="rId12" Type="http://schemas.openxmlformats.org/officeDocument/2006/relationships/hyperlink" Target="#'1. &#1497;&#1497;&#1491;&#1493;&#1506;'!A1"/><Relationship Id="rId2" Type="http://schemas.openxmlformats.org/officeDocument/2006/relationships/hyperlink" Target="#'3. &#1510;&#1502;&#1497;&#1491;&#1493;&#1514; &#1502;&#1496;&#1512;&#1492; &#1493;&#1510;&#1502;&#1510;&#1493;&#1501; &#1502;&#1497;&#1491;&#1506;'!A1"/><Relationship Id="rId1" Type="http://schemas.openxmlformats.org/officeDocument/2006/relationships/hyperlink" Target="#'2. &#1492;&#1505;&#1499;&#1502;&#1492;'!A1"/><Relationship Id="rId6" Type="http://schemas.openxmlformats.org/officeDocument/2006/relationships/hyperlink" Target="#'5.1 &#1514;&#1497;&#1511;&#1493;&#1503; &#1500;&#1497;&#1511;&#1493;&#1497;&#1497;&#1501;'!A1"/><Relationship Id="rId11" Type="http://schemas.openxmlformats.org/officeDocument/2006/relationships/hyperlink" Target="#'10. &#1488;&#1495;&#1512;&#1497;&#1493;&#1514; &#1491;&#1497;&#1512;&#1511;&#1496;&#1493;&#1512;&#1497;&#1493;&#1503;'!A1"/><Relationship Id="rId5" Type="http://schemas.openxmlformats.org/officeDocument/2006/relationships/hyperlink" Target="#'5. &#1489;&#1511;&#1512;&#1492; &#1513;&#1493;&#1496;&#1508;&#1514;'!A1"/><Relationship Id="rId10" Type="http://schemas.openxmlformats.org/officeDocument/2006/relationships/hyperlink" Target="#'9. &#1496;&#1497;&#1508;&#1493;&#1500; &#1489;&#1508;&#1504;&#1497;&#1493;&#1514;'!A1"/><Relationship Id="rId4" Type="http://schemas.openxmlformats.org/officeDocument/2006/relationships/hyperlink" Target="#'4.1 &#1505;&#1506;&#1497;&#1508;&#1497; &#1495;&#1493;&#1489;&#1492; &#1502;&#1505;&#1502;&#1498; &#1492;&#1490;&#1491;&#1512;&#1493;&#1514; &#1502;&#1488;&#1490;&#1512;'!A1"/><Relationship Id="rId9" Type="http://schemas.openxmlformats.org/officeDocument/2006/relationships/hyperlink" Target="#'8. &#1506;&#1493;&#1489;&#1491;&#1497;&#1501;'!A1"/><Relationship Id="rId14" Type="http://schemas.openxmlformats.org/officeDocument/2006/relationships/image" Target="../media/image6.png"/></Relationships>
</file>

<file path=xl/drawings/_rels/drawing5.xml.rels><?xml version="1.0" encoding="UTF-8" standalone="yes"?>
<Relationships xmlns="http://schemas.openxmlformats.org/package/2006/relationships"><Relationship Id="rId8" Type="http://schemas.openxmlformats.org/officeDocument/2006/relationships/hyperlink" Target="#'7. &#1491;&#1497;&#1493;&#1493;&#1512; &#1497;&#1513;&#1497;&#1512;'!A1"/><Relationship Id="rId13" Type="http://schemas.openxmlformats.org/officeDocument/2006/relationships/hyperlink" Target="#&#1512;&#1488;&#1513;&#1497;!A1"/><Relationship Id="rId3" Type="http://schemas.openxmlformats.org/officeDocument/2006/relationships/hyperlink" Target="#'4. &#1488;&#1489;&#1496;&#1495;&#1514; &#1502;&#1497;&#1491;&#1506;'!A1"/><Relationship Id="rId7" Type="http://schemas.openxmlformats.org/officeDocument/2006/relationships/hyperlink" Target="#'6. &#1512;&#1497;&#1513;&#1493;&#1501; &#1493;&#1492;&#1493;&#1491;&#1506;&#1492; &#1506;&#1500; &#1502;&#1488;&#1490;&#1512;&#1497;&#1501;'!A1"/><Relationship Id="rId12" Type="http://schemas.openxmlformats.org/officeDocument/2006/relationships/hyperlink" Target="#'1. &#1497;&#1497;&#1491;&#1493;&#1506;'!A1"/><Relationship Id="rId2" Type="http://schemas.openxmlformats.org/officeDocument/2006/relationships/hyperlink" Target="#'2.1 &#1505;&#1493;&#1490;&#1497;&#1493;&#1514; &#1504;&#1493;&#1505;&#1508;&#1493;&#1514; &#1500;&#1489;&#1495;&#1497;&#1504;&#1492;'!A1"/><Relationship Id="rId1" Type="http://schemas.openxmlformats.org/officeDocument/2006/relationships/hyperlink" Target="#'2. &#1492;&#1505;&#1499;&#1502;&#1492;'!A1"/><Relationship Id="rId6" Type="http://schemas.openxmlformats.org/officeDocument/2006/relationships/hyperlink" Target="#'5.1 &#1514;&#1497;&#1511;&#1493;&#1503; &#1500;&#1497;&#1511;&#1493;&#1497;&#1497;&#1501;'!A1"/><Relationship Id="rId11" Type="http://schemas.openxmlformats.org/officeDocument/2006/relationships/hyperlink" Target="#'10. &#1488;&#1495;&#1512;&#1497;&#1493;&#1514; &#1491;&#1497;&#1512;&#1511;&#1496;&#1493;&#1512;&#1497;&#1493;&#1503;'!A1"/><Relationship Id="rId5" Type="http://schemas.openxmlformats.org/officeDocument/2006/relationships/hyperlink" Target="#'5. &#1489;&#1511;&#1512;&#1492; &#1513;&#1493;&#1496;&#1508;&#1514;'!A1"/><Relationship Id="rId10" Type="http://schemas.openxmlformats.org/officeDocument/2006/relationships/hyperlink" Target="#'9. &#1496;&#1497;&#1508;&#1493;&#1500; &#1489;&#1508;&#1504;&#1497;&#1493;&#1514;'!A1"/><Relationship Id="rId4" Type="http://schemas.openxmlformats.org/officeDocument/2006/relationships/hyperlink" Target="#'4.1 &#1505;&#1506;&#1497;&#1508;&#1497; &#1495;&#1493;&#1489;&#1492; &#1502;&#1505;&#1502;&#1498; &#1492;&#1490;&#1491;&#1512;&#1493;&#1514; &#1502;&#1488;&#1490;&#1512;'!A1"/><Relationship Id="rId9" Type="http://schemas.openxmlformats.org/officeDocument/2006/relationships/hyperlink" Target="#'8. &#1506;&#1493;&#1489;&#1491;&#1497;&#1501;'!A1"/><Relationship Id="rId14" Type="http://schemas.openxmlformats.org/officeDocument/2006/relationships/image" Target="../media/image6.png"/></Relationships>
</file>

<file path=xl/drawings/_rels/drawing6.xml.rels><?xml version="1.0" encoding="UTF-8" standalone="yes"?>
<Relationships xmlns="http://schemas.openxmlformats.org/package/2006/relationships"><Relationship Id="rId8" Type="http://schemas.openxmlformats.org/officeDocument/2006/relationships/hyperlink" Target="#'7. &#1491;&#1497;&#1493;&#1493;&#1512; &#1497;&#1513;&#1497;&#1512;'!A1"/><Relationship Id="rId13" Type="http://schemas.openxmlformats.org/officeDocument/2006/relationships/hyperlink" Target="#&#1512;&#1488;&#1513;&#1497;!A1"/><Relationship Id="rId3" Type="http://schemas.openxmlformats.org/officeDocument/2006/relationships/hyperlink" Target="#'3. &#1510;&#1502;&#1497;&#1491;&#1493;&#1514; &#1502;&#1496;&#1512;&#1492; &#1493;&#1510;&#1502;&#1510;&#1493;&#1501; &#1502;&#1497;&#1491;&#1506;'!A1"/><Relationship Id="rId7" Type="http://schemas.openxmlformats.org/officeDocument/2006/relationships/hyperlink" Target="#'6. &#1512;&#1497;&#1513;&#1493;&#1501; &#1493;&#1492;&#1493;&#1491;&#1506;&#1492; &#1506;&#1500; &#1502;&#1488;&#1490;&#1512;&#1497;&#1501;'!A1"/><Relationship Id="rId12" Type="http://schemas.openxmlformats.org/officeDocument/2006/relationships/hyperlink" Target="#'1. &#1497;&#1497;&#1491;&#1493;&#1506;'!A1"/><Relationship Id="rId2" Type="http://schemas.openxmlformats.org/officeDocument/2006/relationships/hyperlink" Target="#'2.1 &#1505;&#1493;&#1490;&#1497;&#1493;&#1514; &#1504;&#1493;&#1505;&#1508;&#1493;&#1514; &#1500;&#1489;&#1495;&#1497;&#1504;&#1492;'!A1"/><Relationship Id="rId1" Type="http://schemas.openxmlformats.org/officeDocument/2006/relationships/hyperlink" Target="#'2. &#1492;&#1505;&#1499;&#1502;&#1492;'!A1"/><Relationship Id="rId6" Type="http://schemas.openxmlformats.org/officeDocument/2006/relationships/hyperlink" Target="#'5.1 &#1514;&#1497;&#1511;&#1493;&#1503; &#1500;&#1497;&#1511;&#1493;&#1497;&#1497;&#1501;'!A1"/><Relationship Id="rId11" Type="http://schemas.openxmlformats.org/officeDocument/2006/relationships/hyperlink" Target="#'10. &#1488;&#1495;&#1512;&#1497;&#1493;&#1514; &#1491;&#1497;&#1512;&#1511;&#1496;&#1493;&#1512;&#1497;&#1493;&#1503;'!A1"/><Relationship Id="rId5" Type="http://schemas.openxmlformats.org/officeDocument/2006/relationships/hyperlink" Target="#'5. &#1489;&#1511;&#1512;&#1492; &#1513;&#1493;&#1496;&#1508;&#1514;'!A1"/><Relationship Id="rId10" Type="http://schemas.openxmlformats.org/officeDocument/2006/relationships/hyperlink" Target="#'9. &#1496;&#1497;&#1508;&#1493;&#1500; &#1489;&#1508;&#1504;&#1497;&#1493;&#1514;'!A1"/><Relationship Id="rId4" Type="http://schemas.openxmlformats.org/officeDocument/2006/relationships/hyperlink" Target="#'4.1 &#1505;&#1506;&#1497;&#1508;&#1497; &#1495;&#1493;&#1489;&#1492; &#1502;&#1505;&#1502;&#1498; &#1492;&#1490;&#1491;&#1512;&#1493;&#1514; &#1502;&#1488;&#1490;&#1512;'!A1"/><Relationship Id="rId9" Type="http://schemas.openxmlformats.org/officeDocument/2006/relationships/hyperlink" Target="#'8. &#1506;&#1493;&#1489;&#1491;&#1497;&#1501;'!A1"/><Relationship Id="rId14" Type="http://schemas.openxmlformats.org/officeDocument/2006/relationships/image" Target="../media/image6.png"/></Relationships>
</file>

<file path=xl/drawings/_rels/drawing7.xml.rels><?xml version="1.0" encoding="UTF-8" standalone="yes"?>
<Relationships xmlns="http://schemas.openxmlformats.org/package/2006/relationships"><Relationship Id="rId8" Type="http://schemas.openxmlformats.org/officeDocument/2006/relationships/hyperlink" Target="#'7. &#1491;&#1497;&#1493;&#1493;&#1512; &#1497;&#1513;&#1497;&#1512;'!A1"/><Relationship Id="rId13" Type="http://schemas.openxmlformats.org/officeDocument/2006/relationships/hyperlink" Target="#&#1512;&#1488;&#1513;&#1497;!A1"/><Relationship Id="rId3" Type="http://schemas.openxmlformats.org/officeDocument/2006/relationships/hyperlink" Target="#'3. &#1510;&#1502;&#1497;&#1491;&#1493;&#1514; &#1502;&#1496;&#1512;&#1492; &#1493;&#1510;&#1502;&#1510;&#1493;&#1501; &#1502;&#1497;&#1491;&#1506;'!A1"/><Relationship Id="rId7" Type="http://schemas.openxmlformats.org/officeDocument/2006/relationships/hyperlink" Target="#'6. &#1512;&#1497;&#1513;&#1493;&#1501; &#1493;&#1492;&#1493;&#1491;&#1506;&#1492; &#1506;&#1500; &#1502;&#1488;&#1490;&#1512;&#1497;&#1501;'!A1"/><Relationship Id="rId12" Type="http://schemas.openxmlformats.org/officeDocument/2006/relationships/hyperlink" Target="#'1. &#1497;&#1497;&#1491;&#1493;&#1506;'!A1"/><Relationship Id="rId2" Type="http://schemas.openxmlformats.org/officeDocument/2006/relationships/hyperlink" Target="#'2.1 &#1505;&#1493;&#1490;&#1497;&#1493;&#1514; &#1504;&#1493;&#1505;&#1508;&#1493;&#1514; &#1500;&#1489;&#1495;&#1497;&#1504;&#1492;'!A1"/><Relationship Id="rId1" Type="http://schemas.openxmlformats.org/officeDocument/2006/relationships/hyperlink" Target="#'2. &#1492;&#1505;&#1499;&#1502;&#1492;'!A1"/><Relationship Id="rId6" Type="http://schemas.openxmlformats.org/officeDocument/2006/relationships/hyperlink" Target="#'5.1 &#1514;&#1497;&#1511;&#1493;&#1503; &#1500;&#1497;&#1511;&#1493;&#1497;&#1497;&#1501;'!A1"/><Relationship Id="rId11" Type="http://schemas.openxmlformats.org/officeDocument/2006/relationships/hyperlink" Target="#'10. &#1488;&#1495;&#1512;&#1497;&#1493;&#1514; &#1491;&#1497;&#1512;&#1511;&#1496;&#1493;&#1512;&#1497;&#1493;&#1503;'!A1"/><Relationship Id="rId5" Type="http://schemas.openxmlformats.org/officeDocument/2006/relationships/hyperlink" Target="#'5. &#1489;&#1511;&#1512;&#1492; &#1513;&#1493;&#1496;&#1508;&#1514;'!A1"/><Relationship Id="rId10" Type="http://schemas.openxmlformats.org/officeDocument/2006/relationships/hyperlink" Target="#'9. &#1496;&#1497;&#1508;&#1493;&#1500; &#1489;&#1508;&#1504;&#1497;&#1493;&#1514;'!A1"/><Relationship Id="rId4" Type="http://schemas.openxmlformats.org/officeDocument/2006/relationships/hyperlink" Target="#'4. &#1488;&#1489;&#1496;&#1495;&#1514; &#1502;&#1497;&#1491;&#1506;'!A1"/><Relationship Id="rId9" Type="http://schemas.openxmlformats.org/officeDocument/2006/relationships/hyperlink" Target="#'8. &#1506;&#1493;&#1489;&#1491;&#1497;&#1501;'!A1"/><Relationship Id="rId14" Type="http://schemas.openxmlformats.org/officeDocument/2006/relationships/image" Target="../media/image6.png"/></Relationships>
</file>

<file path=xl/drawings/_rels/drawing8.xml.rels><?xml version="1.0" encoding="UTF-8" standalone="yes"?>
<Relationships xmlns="http://schemas.openxmlformats.org/package/2006/relationships"><Relationship Id="rId8" Type="http://schemas.openxmlformats.org/officeDocument/2006/relationships/hyperlink" Target="#'7. &#1491;&#1497;&#1493;&#1493;&#1512; &#1497;&#1513;&#1497;&#1512;'!A1"/><Relationship Id="rId13" Type="http://schemas.openxmlformats.org/officeDocument/2006/relationships/hyperlink" Target="#&#1512;&#1488;&#1513;&#1497;!A1"/><Relationship Id="rId3" Type="http://schemas.openxmlformats.org/officeDocument/2006/relationships/hyperlink" Target="#'3. &#1510;&#1502;&#1497;&#1491;&#1493;&#1514; &#1502;&#1496;&#1512;&#1492; &#1493;&#1510;&#1502;&#1510;&#1493;&#1501; &#1502;&#1497;&#1491;&#1506;'!A1"/><Relationship Id="rId7" Type="http://schemas.openxmlformats.org/officeDocument/2006/relationships/hyperlink" Target="#'6. &#1512;&#1497;&#1513;&#1493;&#1501; &#1493;&#1492;&#1493;&#1491;&#1506;&#1492; &#1506;&#1500; &#1502;&#1488;&#1490;&#1512;&#1497;&#1501;'!A1"/><Relationship Id="rId12" Type="http://schemas.openxmlformats.org/officeDocument/2006/relationships/hyperlink" Target="#'1. &#1497;&#1497;&#1491;&#1493;&#1506;'!A1"/><Relationship Id="rId2" Type="http://schemas.openxmlformats.org/officeDocument/2006/relationships/hyperlink" Target="#'2.1 &#1505;&#1493;&#1490;&#1497;&#1493;&#1514; &#1504;&#1493;&#1505;&#1508;&#1493;&#1514; &#1500;&#1489;&#1495;&#1497;&#1504;&#1492;'!A1"/><Relationship Id="rId1" Type="http://schemas.openxmlformats.org/officeDocument/2006/relationships/hyperlink" Target="#'2. &#1492;&#1505;&#1499;&#1502;&#1492;'!A1"/><Relationship Id="rId6" Type="http://schemas.openxmlformats.org/officeDocument/2006/relationships/hyperlink" Target="#'5.1 &#1514;&#1497;&#1511;&#1493;&#1503; &#1500;&#1497;&#1511;&#1493;&#1497;&#1497;&#1501;'!A1"/><Relationship Id="rId11" Type="http://schemas.openxmlformats.org/officeDocument/2006/relationships/hyperlink" Target="#'10. &#1488;&#1495;&#1512;&#1497;&#1493;&#1514; &#1491;&#1497;&#1512;&#1511;&#1496;&#1493;&#1512;&#1497;&#1493;&#1503;'!A1"/><Relationship Id="rId5" Type="http://schemas.openxmlformats.org/officeDocument/2006/relationships/hyperlink" Target="#'4.1 &#1505;&#1506;&#1497;&#1508;&#1497; &#1495;&#1493;&#1489;&#1492; &#1502;&#1505;&#1502;&#1498; &#1492;&#1490;&#1491;&#1512;&#1493;&#1514; &#1502;&#1488;&#1490;&#1512;'!A1"/><Relationship Id="rId10" Type="http://schemas.openxmlformats.org/officeDocument/2006/relationships/hyperlink" Target="#'9. &#1496;&#1497;&#1508;&#1493;&#1500; &#1489;&#1508;&#1504;&#1497;&#1493;&#1514;'!A1"/><Relationship Id="rId4" Type="http://schemas.openxmlformats.org/officeDocument/2006/relationships/hyperlink" Target="#'4. &#1488;&#1489;&#1496;&#1495;&#1514; &#1502;&#1497;&#1491;&#1506;'!A1"/><Relationship Id="rId9" Type="http://schemas.openxmlformats.org/officeDocument/2006/relationships/hyperlink" Target="#'8. &#1506;&#1493;&#1489;&#1491;&#1497;&#1501;'!A1"/><Relationship Id="rId14" Type="http://schemas.openxmlformats.org/officeDocument/2006/relationships/image" Target="../media/image6.png"/></Relationships>
</file>

<file path=xl/drawings/_rels/drawing9.xml.rels><?xml version="1.0" encoding="UTF-8" standalone="yes"?>
<Relationships xmlns="http://schemas.openxmlformats.org/package/2006/relationships"><Relationship Id="rId8" Type="http://schemas.openxmlformats.org/officeDocument/2006/relationships/hyperlink" Target="#'7. &#1491;&#1497;&#1493;&#1493;&#1512; &#1497;&#1513;&#1497;&#1512;'!A1"/><Relationship Id="rId13" Type="http://schemas.openxmlformats.org/officeDocument/2006/relationships/hyperlink" Target="#&#1512;&#1488;&#1513;&#1497;!A1"/><Relationship Id="rId3" Type="http://schemas.openxmlformats.org/officeDocument/2006/relationships/hyperlink" Target="#'3. &#1510;&#1502;&#1497;&#1491;&#1493;&#1514; &#1502;&#1496;&#1512;&#1492; &#1493;&#1510;&#1502;&#1510;&#1493;&#1501; &#1502;&#1497;&#1491;&#1506;'!A1"/><Relationship Id="rId7" Type="http://schemas.openxmlformats.org/officeDocument/2006/relationships/hyperlink" Target="#'6. &#1512;&#1497;&#1513;&#1493;&#1501; &#1493;&#1492;&#1493;&#1491;&#1506;&#1492; &#1506;&#1500; &#1502;&#1488;&#1490;&#1512;&#1497;&#1501;'!A1"/><Relationship Id="rId12" Type="http://schemas.openxmlformats.org/officeDocument/2006/relationships/hyperlink" Target="#'1. &#1497;&#1497;&#1491;&#1493;&#1506;'!A1"/><Relationship Id="rId2" Type="http://schemas.openxmlformats.org/officeDocument/2006/relationships/hyperlink" Target="#'2.1 &#1505;&#1493;&#1490;&#1497;&#1493;&#1514; &#1504;&#1493;&#1505;&#1508;&#1493;&#1514; &#1500;&#1489;&#1495;&#1497;&#1504;&#1492;'!A1"/><Relationship Id="rId1" Type="http://schemas.openxmlformats.org/officeDocument/2006/relationships/hyperlink" Target="#'2. &#1492;&#1505;&#1499;&#1502;&#1492;'!A1"/><Relationship Id="rId6" Type="http://schemas.openxmlformats.org/officeDocument/2006/relationships/hyperlink" Target="#'5. &#1489;&#1511;&#1512;&#1492; &#1513;&#1493;&#1496;&#1508;&#1514;'!A1"/><Relationship Id="rId11" Type="http://schemas.openxmlformats.org/officeDocument/2006/relationships/hyperlink" Target="#'10. &#1488;&#1495;&#1512;&#1497;&#1493;&#1514; &#1491;&#1497;&#1512;&#1511;&#1496;&#1493;&#1512;&#1497;&#1493;&#1503;'!A1"/><Relationship Id="rId5" Type="http://schemas.openxmlformats.org/officeDocument/2006/relationships/hyperlink" Target="#'4.1 &#1505;&#1506;&#1497;&#1508;&#1497; &#1495;&#1493;&#1489;&#1492; &#1502;&#1505;&#1502;&#1498; &#1492;&#1490;&#1491;&#1512;&#1493;&#1514; &#1502;&#1488;&#1490;&#1512;'!A1"/><Relationship Id="rId10" Type="http://schemas.openxmlformats.org/officeDocument/2006/relationships/hyperlink" Target="#'9. &#1496;&#1497;&#1508;&#1493;&#1500; &#1489;&#1508;&#1504;&#1497;&#1493;&#1514;'!A1"/><Relationship Id="rId4" Type="http://schemas.openxmlformats.org/officeDocument/2006/relationships/hyperlink" Target="#'4. &#1488;&#1489;&#1496;&#1495;&#1514; &#1502;&#1497;&#1491;&#1506;'!A1"/><Relationship Id="rId9" Type="http://schemas.openxmlformats.org/officeDocument/2006/relationships/hyperlink" Target="#'8. &#1506;&#1493;&#1489;&#1491;&#1497;&#1501;'!A1"/><Relationship Id="rId1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8" Type="http://schemas.openxmlformats.org/officeDocument/2006/relationships/hyperlink" Target="#'7. &#1491;&#1497;&#1493;&#1493;&#1512; &#1497;&#1513;&#1497;&#1512;'!A1"/><Relationship Id="rId13" Type="http://schemas.openxmlformats.org/officeDocument/2006/relationships/hyperlink" Target="#&#1512;&#1488;&#1513;&#1497;!A1"/><Relationship Id="rId3" Type="http://schemas.openxmlformats.org/officeDocument/2006/relationships/hyperlink" Target="#'3. &#1510;&#1502;&#1497;&#1491;&#1493;&#1514; &#1502;&#1496;&#1512;&#1492; &#1493;&#1510;&#1502;&#1510;&#1493;&#1501; &#1502;&#1497;&#1491;&#1506;'!A1"/><Relationship Id="rId7" Type="http://schemas.openxmlformats.org/officeDocument/2006/relationships/hyperlink" Target="#'5.1 &#1514;&#1497;&#1511;&#1493;&#1503; &#1500;&#1497;&#1511;&#1493;&#1497;&#1497;&#1501;'!A1"/><Relationship Id="rId12" Type="http://schemas.openxmlformats.org/officeDocument/2006/relationships/hyperlink" Target="#'1. &#1497;&#1497;&#1491;&#1493;&#1506;'!A1"/><Relationship Id="rId2" Type="http://schemas.openxmlformats.org/officeDocument/2006/relationships/hyperlink" Target="#'2.1 &#1505;&#1493;&#1490;&#1497;&#1493;&#1514; &#1504;&#1493;&#1505;&#1508;&#1493;&#1514; &#1500;&#1489;&#1495;&#1497;&#1504;&#1492;'!A1"/><Relationship Id="rId1" Type="http://schemas.openxmlformats.org/officeDocument/2006/relationships/hyperlink" Target="#'2. &#1492;&#1505;&#1499;&#1502;&#1492;'!A1"/><Relationship Id="rId6" Type="http://schemas.openxmlformats.org/officeDocument/2006/relationships/hyperlink" Target="#'5. &#1489;&#1511;&#1512;&#1492; &#1513;&#1493;&#1496;&#1508;&#1514;'!A1"/><Relationship Id="rId11" Type="http://schemas.openxmlformats.org/officeDocument/2006/relationships/hyperlink" Target="#'10. &#1488;&#1495;&#1512;&#1497;&#1493;&#1514; &#1491;&#1497;&#1512;&#1511;&#1496;&#1493;&#1512;&#1497;&#1493;&#1503;'!A1"/><Relationship Id="rId5" Type="http://schemas.openxmlformats.org/officeDocument/2006/relationships/hyperlink" Target="#'4.1 &#1505;&#1506;&#1497;&#1508;&#1497; &#1495;&#1493;&#1489;&#1492; &#1502;&#1505;&#1502;&#1498; &#1492;&#1490;&#1491;&#1512;&#1493;&#1514; &#1502;&#1488;&#1490;&#1512;'!A1"/><Relationship Id="rId10" Type="http://schemas.openxmlformats.org/officeDocument/2006/relationships/hyperlink" Target="#'9. &#1496;&#1497;&#1508;&#1493;&#1500; &#1489;&#1508;&#1504;&#1497;&#1493;&#1514;'!A1"/><Relationship Id="rId4" Type="http://schemas.openxmlformats.org/officeDocument/2006/relationships/hyperlink" Target="#'4. &#1488;&#1489;&#1496;&#1495;&#1514; &#1502;&#1497;&#1491;&#1506;'!A1"/><Relationship Id="rId9" Type="http://schemas.openxmlformats.org/officeDocument/2006/relationships/hyperlink" Target="#'8. &#1506;&#1493;&#1489;&#1491;&#1497;&#1501;'!A1"/><Relationship Id="rId14" Type="http://schemas.openxmlformats.org/officeDocument/2006/relationships/image" Target="../media/image6.png"/></Relationships>
</file>

<file path=xl/drawings/_rels/drawing11.xml.rels><?xml version="1.0" encoding="UTF-8" standalone="yes"?>
<Relationships xmlns="http://schemas.openxmlformats.org/package/2006/relationships"><Relationship Id="rId8" Type="http://schemas.openxmlformats.org/officeDocument/2006/relationships/hyperlink" Target="#'6. &#1512;&#1497;&#1513;&#1493;&#1501; &#1493;&#1492;&#1493;&#1491;&#1506;&#1492; &#1506;&#1500; &#1502;&#1488;&#1490;&#1512;&#1497;&#1501;'!A1"/><Relationship Id="rId13" Type="http://schemas.openxmlformats.org/officeDocument/2006/relationships/hyperlink" Target="#&#1512;&#1488;&#1513;&#1497;!A1"/><Relationship Id="rId3" Type="http://schemas.openxmlformats.org/officeDocument/2006/relationships/hyperlink" Target="#'3. &#1510;&#1502;&#1497;&#1491;&#1493;&#1514; &#1502;&#1496;&#1512;&#1492; &#1493;&#1510;&#1502;&#1510;&#1493;&#1501; &#1502;&#1497;&#1491;&#1506;'!A1"/><Relationship Id="rId7" Type="http://schemas.openxmlformats.org/officeDocument/2006/relationships/hyperlink" Target="#'5.1 &#1514;&#1497;&#1511;&#1493;&#1503; &#1500;&#1497;&#1511;&#1493;&#1497;&#1497;&#1501;'!A1"/><Relationship Id="rId12" Type="http://schemas.openxmlformats.org/officeDocument/2006/relationships/hyperlink" Target="#'1. &#1497;&#1497;&#1491;&#1493;&#1506;'!A1"/><Relationship Id="rId2" Type="http://schemas.openxmlformats.org/officeDocument/2006/relationships/hyperlink" Target="#'2.1 &#1505;&#1493;&#1490;&#1497;&#1493;&#1514; &#1504;&#1493;&#1505;&#1508;&#1493;&#1514; &#1500;&#1489;&#1495;&#1497;&#1504;&#1492;'!A1"/><Relationship Id="rId1" Type="http://schemas.openxmlformats.org/officeDocument/2006/relationships/hyperlink" Target="#'2. &#1492;&#1505;&#1499;&#1502;&#1492;'!A1"/><Relationship Id="rId6" Type="http://schemas.openxmlformats.org/officeDocument/2006/relationships/hyperlink" Target="#'5. &#1489;&#1511;&#1512;&#1492; &#1513;&#1493;&#1496;&#1508;&#1514;'!A1"/><Relationship Id="rId11" Type="http://schemas.openxmlformats.org/officeDocument/2006/relationships/hyperlink" Target="#'10. &#1488;&#1495;&#1512;&#1497;&#1493;&#1514; &#1491;&#1497;&#1512;&#1511;&#1496;&#1493;&#1512;&#1497;&#1493;&#1503;'!A1"/><Relationship Id="rId5" Type="http://schemas.openxmlformats.org/officeDocument/2006/relationships/hyperlink" Target="#'4.1 &#1505;&#1506;&#1497;&#1508;&#1497; &#1495;&#1493;&#1489;&#1492; &#1502;&#1505;&#1502;&#1498; &#1492;&#1490;&#1491;&#1512;&#1493;&#1514; &#1502;&#1488;&#1490;&#1512;'!A1"/><Relationship Id="rId10" Type="http://schemas.openxmlformats.org/officeDocument/2006/relationships/hyperlink" Target="#'9. &#1496;&#1497;&#1508;&#1493;&#1500; &#1489;&#1508;&#1504;&#1497;&#1493;&#1514;'!A1"/><Relationship Id="rId4" Type="http://schemas.openxmlformats.org/officeDocument/2006/relationships/hyperlink" Target="#'4. &#1488;&#1489;&#1496;&#1495;&#1514; &#1502;&#1497;&#1491;&#1506;'!A1"/><Relationship Id="rId9" Type="http://schemas.openxmlformats.org/officeDocument/2006/relationships/hyperlink" Target="#'8. &#1506;&#1493;&#1489;&#1491;&#1497;&#1501;'!A1"/><Relationship Id="rId14" Type="http://schemas.openxmlformats.org/officeDocument/2006/relationships/image" Target="../media/image6.png"/></Relationships>
</file>

<file path=xl/drawings/_rels/drawing12.xml.rels><?xml version="1.0" encoding="UTF-8" standalone="yes"?>
<Relationships xmlns="http://schemas.openxmlformats.org/package/2006/relationships"><Relationship Id="rId8" Type="http://schemas.openxmlformats.org/officeDocument/2006/relationships/hyperlink" Target="#'6. &#1512;&#1497;&#1513;&#1493;&#1501; &#1493;&#1492;&#1493;&#1491;&#1506;&#1492; &#1506;&#1500; &#1502;&#1488;&#1490;&#1512;&#1497;&#1501;'!A1"/><Relationship Id="rId13" Type="http://schemas.openxmlformats.org/officeDocument/2006/relationships/hyperlink" Target="#&#1512;&#1488;&#1513;&#1497;!A1"/><Relationship Id="rId3" Type="http://schemas.openxmlformats.org/officeDocument/2006/relationships/hyperlink" Target="#'3. &#1510;&#1502;&#1497;&#1491;&#1493;&#1514; &#1502;&#1496;&#1512;&#1492; &#1493;&#1510;&#1502;&#1510;&#1493;&#1501; &#1502;&#1497;&#1491;&#1506;'!A1"/><Relationship Id="rId7" Type="http://schemas.openxmlformats.org/officeDocument/2006/relationships/hyperlink" Target="#'5.1 &#1514;&#1497;&#1511;&#1493;&#1503; &#1500;&#1497;&#1511;&#1493;&#1497;&#1497;&#1501;'!A1"/><Relationship Id="rId12" Type="http://schemas.openxmlformats.org/officeDocument/2006/relationships/hyperlink" Target="#'1. &#1497;&#1497;&#1491;&#1493;&#1506;'!A1"/><Relationship Id="rId2" Type="http://schemas.openxmlformats.org/officeDocument/2006/relationships/hyperlink" Target="#'2.1 &#1505;&#1493;&#1490;&#1497;&#1493;&#1514; &#1504;&#1493;&#1505;&#1508;&#1493;&#1514; &#1500;&#1489;&#1495;&#1497;&#1504;&#1492;'!A1"/><Relationship Id="rId1" Type="http://schemas.openxmlformats.org/officeDocument/2006/relationships/hyperlink" Target="#'2. &#1492;&#1505;&#1499;&#1502;&#1492;'!A1"/><Relationship Id="rId6" Type="http://schemas.openxmlformats.org/officeDocument/2006/relationships/hyperlink" Target="#'5. &#1489;&#1511;&#1512;&#1492; &#1513;&#1493;&#1496;&#1508;&#1514;'!A1"/><Relationship Id="rId11" Type="http://schemas.openxmlformats.org/officeDocument/2006/relationships/hyperlink" Target="#'10. &#1488;&#1495;&#1512;&#1497;&#1493;&#1514; &#1491;&#1497;&#1512;&#1511;&#1496;&#1493;&#1512;&#1497;&#1493;&#1503;'!A1"/><Relationship Id="rId5" Type="http://schemas.openxmlformats.org/officeDocument/2006/relationships/hyperlink" Target="#'4.1 &#1505;&#1506;&#1497;&#1508;&#1497; &#1495;&#1493;&#1489;&#1492; &#1502;&#1505;&#1502;&#1498; &#1492;&#1490;&#1491;&#1512;&#1493;&#1514; &#1502;&#1488;&#1490;&#1512;'!A1"/><Relationship Id="rId10" Type="http://schemas.openxmlformats.org/officeDocument/2006/relationships/hyperlink" Target="#'9. &#1496;&#1497;&#1508;&#1493;&#1500; &#1489;&#1508;&#1504;&#1497;&#1493;&#1514;'!A1"/><Relationship Id="rId4" Type="http://schemas.openxmlformats.org/officeDocument/2006/relationships/hyperlink" Target="#'4. &#1488;&#1489;&#1496;&#1495;&#1514; &#1502;&#1497;&#1491;&#1506;'!A1"/><Relationship Id="rId9" Type="http://schemas.openxmlformats.org/officeDocument/2006/relationships/hyperlink" Target="#'7. &#1491;&#1497;&#1493;&#1493;&#1512; &#1497;&#1513;&#1497;&#1512;'!A1"/><Relationship Id="rId14" Type="http://schemas.openxmlformats.org/officeDocument/2006/relationships/image" Target="../media/image6.png"/></Relationships>
</file>

<file path=xl/drawings/_rels/drawing13.xml.rels><?xml version="1.0" encoding="UTF-8" standalone="yes"?>
<Relationships xmlns="http://schemas.openxmlformats.org/package/2006/relationships"><Relationship Id="rId8" Type="http://schemas.openxmlformats.org/officeDocument/2006/relationships/hyperlink" Target="#'6. &#1512;&#1497;&#1513;&#1493;&#1501; &#1493;&#1492;&#1493;&#1491;&#1506;&#1492; &#1506;&#1500; &#1502;&#1488;&#1490;&#1512;&#1497;&#1501;'!A1"/><Relationship Id="rId13" Type="http://schemas.openxmlformats.org/officeDocument/2006/relationships/hyperlink" Target="#&#1512;&#1488;&#1513;&#1497;!A1"/><Relationship Id="rId3" Type="http://schemas.openxmlformats.org/officeDocument/2006/relationships/hyperlink" Target="#'3. &#1510;&#1502;&#1497;&#1491;&#1493;&#1514; &#1502;&#1496;&#1512;&#1492; &#1493;&#1510;&#1502;&#1510;&#1493;&#1501; &#1502;&#1497;&#1491;&#1506;'!A1"/><Relationship Id="rId7" Type="http://schemas.openxmlformats.org/officeDocument/2006/relationships/hyperlink" Target="#'5.1 &#1514;&#1497;&#1511;&#1493;&#1503; &#1500;&#1497;&#1511;&#1493;&#1497;&#1497;&#1501;'!A1"/><Relationship Id="rId12" Type="http://schemas.openxmlformats.org/officeDocument/2006/relationships/hyperlink" Target="#'1. &#1497;&#1497;&#1491;&#1493;&#1506;'!A1"/><Relationship Id="rId2" Type="http://schemas.openxmlformats.org/officeDocument/2006/relationships/hyperlink" Target="#'2.1 &#1505;&#1493;&#1490;&#1497;&#1493;&#1514; &#1504;&#1493;&#1505;&#1508;&#1493;&#1514; &#1500;&#1489;&#1495;&#1497;&#1504;&#1492;'!A1"/><Relationship Id="rId1" Type="http://schemas.openxmlformats.org/officeDocument/2006/relationships/hyperlink" Target="#'2. &#1492;&#1505;&#1499;&#1502;&#1492;'!A1"/><Relationship Id="rId6" Type="http://schemas.openxmlformats.org/officeDocument/2006/relationships/hyperlink" Target="#'5. &#1489;&#1511;&#1512;&#1492; &#1513;&#1493;&#1496;&#1508;&#1514;'!A1"/><Relationship Id="rId11" Type="http://schemas.openxmlformats.org/officeDocument/2006/relationships/hyperlink" Target="#'10. &#1488;&#1495;&#1512;&#1497;&#1493;&#1514; &#1491;&#1497;&#1512;&#1511;&#1496;&#1493;&#1512;&#1497;&#1493;&#1503;'!A1"/><Relationship Id="rId5" Type="http://schemas.openxmlformats.org/officeDocument/2006/relationships/hyperlink" Target="#'4.1 &#1505;&#1506;&#1497;&#1508;&#1497; &#1495;&#1493;&#1489;&#1492; &#1502;&#1505;&#1502;&#1498; &#1492;&#1490;&#1491;&#1512;&#1493;&#1514; &#1502;&#1488;&#1490;&#1512;'!A1"/><Relationship Id="rId10" Type="http://schemas.openxmlformats.org/officeDocument/2006/relationships/hyperlink" Target="#'8. &#1506;&#1493;&#1489;&#1491;&#1497;&#1501;'!A1"/><Relationship Id="rId4" Type="http://schemas.openxmlformats.org/officeDocument/2006/relationships/hyperlink" Target="#'4. &#1488;&#1489;&#1496;&#1495;&#1514; &#1502;&#1497;&#1491;&#1506;'!A1"/><Relationship Id="rId9" Type="http://schemas.openxmlformats.org/officeDocument/2006/relationships/hyperlink" Target="#'7. &#1491;&#1497;&#1493;&#1493;&#1512; &#1497;&#1513;&#1497;&#1512;'!A1"/><Relationship Id="rId14" Type="http://schemas.openxmlformats.org/officeDocument/2006/relationships/image" Target="../media/image6.png"/></Relationships>
</file>

<file path=xl/drawings/_rels/drawing14.xml.rels><?xml version="1.0" encoding="UTF-8" standalone="yes"?>
<Relationships xmlns="http://schemas.openxmlformats.org/package/2006/relationships"><Relationship Id="rId8" Type="http://schemas.openxmlformats.org/officeDocument/2006/relationships/hyperlink" Target="#'6. &#1512;&#1497;&#1513;&#1493;&#1501; &#1493;&#1492;&#1493;&#1491;&#1506;&#1492; &#1506;&#1500; &#1502;&#1488;&#1490;&#1512;&#1497;&#1501;'!A1"/><Relationship Id="rId13" Type="http://schemas.openxmlformats.org/officeDocument/2006/relationships/hyperlink" Target="#&#1512;&#1488;&#1513;&#1497;!A1"/><Relationship Id="rId3" Type="http://schemas.openxmlformats.org/officeDocument/2006/relationships/hyperlink" Target="#'3. &#1510;&#1502;&#1497;&#1491;&#1493;&#1514; &#1502;&#1496;&#1512;&#1492; &#1493;&#1510;&#1502;&#1510;&#1493;&#1501; &#1502;&#1497;&#1491;&#1506;'!A1"/><Relationship Id="rId7" Type="http://schemas.openxmlformats.org/officeDocument/2006/relationships/hyperlink" Target="#'5.1 &#1514;&#1497;&#1511;&#1493;&#1503; &#1500;&#1497;&#1511;&#1493;&#1497;&#1497;&#1501;'!A1"/><Relationship Id="rId12" Type="http://schemas.openxmlformats.org/officeDocument/2006/relationships/hyperlink" Target="#'1. &#1497;&#1497;&#1491;&#1493;&#1506;'!A1"/><Relationship Id="rId2" Type="http://schemas.openxmlformats.org/officeDocument/2006/relationships/hyperlink" Target="#'2.1 &#1505;&#1493;&#1490;&#1497;&#1493;&#1514; &#1504;&#1493;&#1505;&#1508;&#1493;&#1514; &#1500;&#1489;&#1495;&#1497;&#1504;&#1492;'!A1"/><Relationship Id="rId1" Type="http://schemas.openxmlformats.org/officeDocument/2006/relationships/hyperlink" Target="#'2. &#1492;&#1505;&#1499;&#1502;&#1492;'!A1"/><Relationship Id="rId6" Type="http://schemas.openxmlformats.org/officeDocument/2006/relationships/hyperlink" Target="#'5. &#1489;&#1511;&#1512;&#1492; &#1513;&#1493;&#1496;&#1508;&#1514;'!A1"/><Relationship Id="rId11" Type="http://schemas.openxmlformats.org/officeDocument/2006/relationships/hyperlink" Target="#'9. &#1496;&#1497;&#1508;&#1493;&#1500; &#1489;&#1508;&#1504;&#1497;&#1493;&#1514;'!A1"/><Relationship Id="rId5" Type="http://schemas.openxmlformats.org/officeDocument/2006/relationships/hyperlink" Target="#'4.1 &#1505;&#1506;&#1497;&#1508;&#1497; &#1495;&#1493;&#1489;&#1492; &#1502;&#1505;&#1502;&#1498; &#1492;&#1490;&#1491;&#1512;&#1493;&#1514; &#1502;&#1488;&#1490;&#1512;'!A1"/><Relationship Id="rId10" Type="http://schemas.openxmlformats.org/officeDocument/2006/relationships/hyperlink" Target="#'8. &#1506;&#1493;&#1489;&#1491;&#1497;&#1501;'!A1"/><Relationship Id="rId4" Type="http://schemas.openxmlformats.org/officeDocument/2006/relationships/hyperlink" Target="#'4. &#1488;&#1489;&#1496;&#1495;&#1514; &#1502;&#1497;&#1491;&#1506;'!A1"/><Relationship Id="rId9" Type="http://schemas.openxmlformats.org/officeDocument/2006/relationships/hyperlink" Target="#'7. &#1491;&#1497;&#1493;&#1493;&#1512; &#1497;&#1513;&#1497;&#1512;'!A1"/><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5</xdr:col>
      <xdr:colOff>523874</xdr:colOff>
      <xdr:row>0</xdr:row>
      <xdr:rowOff>104775</xdr:rowOff>
    </xdr:from>
    <xdr:to>
      <xdr:col>6</xdr:col>
      <xdr:colOff>1190625</xdr:colOff>
      <xdr:row>2</xdr:row>
      <xdr:rowOff>145266</xdr:rowOff>
    </xdr:to>
    <xdr:pic>
      <xdr:nvPicPr>
        <xdr:cNvPr id="5" name="תמונה 4">
          <a:extLst>
            <a:ext uri="{FF2B5EF4-FFF2-40B4-BE49-F238E27FC236}">
              <a16:creationId xmlns:a16="http://schemas.microsoft.com/office/drawing/2014/main" id="{1871D16A-AD4F-4791-8917-B45B7D88AD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58695225" y="104775"/>
          <a:ext cx="2619376" cy="440541"/>
        </a:xfrm>
        <a:prstGeom prst="rect">
          <a:avLst/>
        </a:prstGeom>
      </xdr:spPr>
    </xdr:pic>
    <xdr:clientData/>
  </xdr:twoCellAnchor>
  <xdr:oneCellAnchor>
    <xdr:from>
      <xdr:col>5</xdr:col>
      <xdr:colOff>571500</xdr:colOff>
      <xdr:row>23</xdr:row>
      <xdr:rowOff>19050</xdr:rowOff>
    </xdr:from>
    <xdr:ext cx="184731" cy="254557"/>
    <xdr:sp macro="" textlink="">
      <xdr:nvSpPr>
        <xdr:cNvPr id="2" name="תיבת טקסט 1">
          <a:extLst>
            <a:ext uri="{FF2B5EF4-FFF2-40B4-BE49-F238E27FC236}">
              <a16:creationId xmlns:a16="http://schemas.microsoft.com/office/drawing/2014/main" id="{E221E337-025D-4C0A-A3ED-982FC409B255}"/>
            </a:ext>
          </a:extLst>
        </xdr:cNvPr>
        <xdr:cNvSpPr txBox="1"/>
      </xdr:nvSpPr>
      <xdr:spPr>
        <a:xfrm>
          <a:off x="11224418169" y="20478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algn="r" rtl="1"/>
          <a:endParaRPr lang="he-IL" sz="1100"/>
        </a:p>
      </xdr:txBody>
    </xdr:sp>
    <xdr:clientData/>
  </xdr:oneCellAnchor>
  <xdr:twoCellAnchor editAs="oneCell">
    <xdr:from>
      <xdr:col>0</xdr:col>
      <xdr:colOff>-45942250</xdr:colOff>
      <xdr:row>10</xdr:row>
      <xdr:rowOff>103187</xdr:rowOff>
    </xdr:from>
    <xdr:to>
      <xdr:col>0</xdr:col>
      <xdr:colOff>-45485051</xdr:colOff>
      <xdr:row>12</xdr:row>
      <xdr:rowOff>165780</xdr:rowOff>
    </xdr:to>
    <xdr:pic>
      <xdr:nvPicPr>
        <xdr:cNvPr id="7" name="גרפיקה 6" descr="בית עם מילוי מלא">
          <a:hlinkClick xmlns:r="http://schemas.openxmlformats.org/officeDocument/2006/relationships" r:id="rId2"/>
          <a:extLst>
            <a:ext uri="{FF2B5EF4-FFF2-40B4-BE49-F238E27FC236}">
              <a16:creationId xmlns:a16="http://schemas.microsoft.com/office/drawing/2014/main" id="{083AAB6A-6F6F-4140-947F-0878A8B2E6C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228279551" y="2714625"/>
          <a:ext cx="457199" cy="453118"/>
        </a:xfrm>
        <a:prstGeom prst="rect">
          <a:avLst/>
        </a:prstGeom>
        <a:effectLst>
          <a:innerShdw blurRad="558800" dist="1130300" dir="16200000">
            <a:prstClr val="black">
              <a:alpha val="50000"/>
            </a:prstClr>
          </a:innerShdw>
          <a:reflection stA="43000" endPos="64000" dir="5400000" sy="-100000" algn="bl" rotWithShape="0"/>
        </a:effectLst>
        <a:scene3d>
          <a:camera prst="orthographicFront"/>
          <a:lightRig rig="threePt" dir="t"/>
        </a:scene3d>
        <a:sp3d>
          <a:bevelT/>
        </a:sp3d>
      </xdr:spPr>
    </xdr:pic>
    <xdr:clientData/>
  </xdr:twoCellAnchor>
  <xdr:twoCellAnchor>
    <xdr:from>
      <xdr:col>5</xdr:col>
      <xdr:colOff>1504951</xdr:colOff>
      <xdr:row>4</xdr:row>
      <xdr:rowOff>123826</xdr:rowOff>
    </xdr:from>
    <xdr:to>
      <xdr:col>7</xdr:col>
      <xdr:colOff>409575</xdr:colOff>
      <xdr:row>11</xdr:row>
      <xdr:rowOff>142875</xdr:rowOff>
    </xdr:to>
    <xdr:sp macro="" textlink="">
      <xdr:nvSpPr>
        <xdr:cNvPr id="3" name="תיבת טקסט 2">
          <a:extLst>
            <a:ext uri="{FF2B5EF4-FFF2-40B4-BE49-F238E27FC236}">
              <a16:creationId xmlns:a16="http://schemas.microsoft.com/office/drawing/2014/main" id="{DE341739-FC1C-4295-8B5A-8D549ED51929}"/>
            </a:ext>
          </a:extLst>
        </xdr:cNvPr>
        <xdr:cNvSpPr txBox="1"/>
      </xdr:nvSpPr>
      <xdr:spPr>
        <a:xfrm>
          <a:off x="13257523650" y="1295401"/>
          <a:ext cx="2809874" cy="1419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r>
            <a:rPr lang="he-IL" sz="1100" b="1" u="sng">
              <a:latin typeface="Calibri" panose="020F0502020204030204" pitchFamily="34" charset="0"/>
              <a:ea typeface="Calibri" panose="020F0502020204030204" pitchFamily="34" charset="0"/>
              <a:cs typeface="Calibri" panose="020F0502020204030204" pitchFamily="34" charset="0"/>
            </a:rPr>
            <a:t>הוראות שימוש בכלי עזר זה:</a:t>
          </a:r>
        </a:p>
        <a:p>
          <a:pPr algn="r" rtl="1"/>
          <a:endParaRPr lang="he-IL" sz="1100" b="1" u="sng">
            <a:latin typeface="Calibri" panose="020F0502020204030204" pitchFamily="34" charset="0"/>
            <a:ea typeface="Calibri" panose="020F0502020204030204" pitchFamily="34" charset="0"/>
            <a:cs typeface="Calibri" panose="020F0502020204030204" pitchFamily="34" charset="0"/>
          </a:endParaRPr>
        </a:p>
        <a:p>
          <a:pPr algn="r" rtl="1"/>
          <a:r>
            <a:rPr lang="he-IL" sz="1100">
              <a:latin typeface="Calibri" panose="020F0502020204030204" pitchFamily="34" charset="0"/>
              <a:ea typeface="Calibri" panose="020F0502020204030204" pitchFamily="34" charset="0"/>
              <a:cs typeface="Calibri" panose="020F0502020204030204" pitchFamily="34" charset="0"/>
            </a:rPr>
            <a:t>יש לבחור בקטגוריה ניווט הרצויה</a:t>
          </a:r>
          <a:r>
            <a:rPr lang="he-IL" sz="1100" baseline="0">
              <a:latin typeface="Calibri" panose="020F0502020204030204" pitchFamily="34" charset="0"/>
              <a:ea typeface="Calibri" panose="020F0502020204030204" pitchFamily="34" charset="0"/>
              <a:cs typeface="Calibri" panose="020F0502020204030204" pitchFamily="34" charset="0"/>
            </a:rPr>
            <a:t> מימין בכל גיליון, אשר תעביר בין כל הגיליונות בנושאים אשר מצויינים </a:t>
          </a:r>
          <a:r>
            <a:rPr lang="he-IL" sz="1100" b="1" baseline="0">
              <a:solidFill>
                <a:schemeClr val="tx1"/>
              </a:solidFill>
              <a:latin typeface="Calibri" panose="020F0502020204030204" pitchFamily="34" charset="0"/>
              <a:ea typeface="Calibri" panose="020F0502020204030204" pitchFamily="34" charset="0"/>
              <a:cs typeface="Calibri" panose="020F0502020204030204" pitchFamily="34" charset="0"/>
            </a:rPr>
            <a:t>בקטגוריות בגיליון הנוכחי</a:t>
          </a:r>
          <a:r>
            <a:rPr lang="he-IL" sz="1100" baseline="0">
              <a:solidFill>
                <a:schemeClr val="tx1"/>
              </a:solidFill>
              <a:latin typeface="Calibri" panose="020F0502020204030204" pitchFamily="34" charset="0"/>
              <a:ea typeface="Calibri" panose="020F0502020204030204" pitchFamily="34" charset="0"/>
              <a:cs typeface="Calibri" panose="020F0502020204030204" pitchFamily="34" charset="0"/>
            </a:rPr>
            <a:t>. </a:t>
          </a:r>
        </a:p>
        <a:p>
          <a:pPr algn="r" rtl="1"/>
          <a:endParaRPr lang="he-IL" sz="1100">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r" rtl="1"/>
          <a:r>
            <a:rPr lang="he-IL" sz="1100">
              <a:latin typeface="Calibri" panose="020F0502020204030204" pitchFamily="34" charset="0"/>
              <a:ea typeface="Calibri" panose="020F0502020204030204" pitchFamily="34" charset="0"/>
              <a:cs typeface="Calibri" panose="020F0502020204030204" pitchFamily="34" charset="0"/>
            </a:rPr>
            <a:t>כמו כן,</a:t>
          </a:r>
          <a:r>
            <a:rPr lang="he-IL" sz="1100" baseline="0">
              <a:latin typeface="Calibri" panose="020F0502020204030204" pitchFamily="34" charset="0"/>
              <a:ea typeface="Calibri" panose="020F0502020204030204" pitchFamily="34" charset="0"/>
              <a:cs typeface="Calibri" panose="020F0502020204030204" pitchFamily="34" charset="0"/>
            </a:rPr>
            <a:t> ניתן לחזור</a:t>
          </a:r>
          <a:r>
            <a:rPr lang="he-IL" sz="1100">
              <a:latin typeface="Calibri" panose="020F0502020204030204" pitchFamily="34" charset="0"/>
              <a:ea typeface="Calibri" panose="020F0502020204030204" pitchFamily="34" charset="0"/>
              <a:cs typeface="Calibri" panose="020F0502020204030204" pitchFamily="34" charset="0"/>
            </a:rPr>
            <a:t> למסך הראשי בלחיצה על סמל </a:t>
          </a:r>
        </a:p>
        <a:p>
          <a:pPr algn="r" rtl="1"/>
          <a:r>
            <a:rPr lang="he-IL" sz="1100">
              <a:latin typeface="Calibri" panose="020F0502020204030204" pitchFamily="34" charset="0"/>
              <a:ea typeface="Calibri" panose="020F0502020204030204" pitchFamily="34" charset="0"/>
              <a:cs typeface="Calibri" panose="020F0502020204030204" pitchFamily="34" charset="0"/>
            </a:rPr>
            <a:t>ה-</a:t>
          </a:r>
        </a:p>
      </xdr:txBody>
    </xdr:sp>
    <xdr:clientData/>
  </xdr:twoCellAnchor>
  <xdr:twoCellAnchor editAs="oneCell">
    <xdr:from>
      <xdr:col>5</xdr:col>
      <xdr:colOff>1724025</xdr:colOff>
      <xdr:row>10</xdr:row>
      <xdr:rowOff>95250</xdr:rowOff>
    </xdr:from>
    <xdr:to>
      <xdr:col>6</xdr:col>
      <xdr:colOff>311400</xdr:colOff>
      <xdr:row>13</xdr:row>
      <xdr:rowOff>88952</xdr:rowOff>
    </xdr:to>
    <xdr:pic>
      <xdr:nvPicPr>
        <xdr:cNvPr id="8" name="תמונה 7">
          <a:extLst>
            <a:ext uri="{FF2B5EF4-FFF2-40B4-BE49-F238E27FC236}">
              <a16:creationId xmlns:a16="http://schemas.microsoft.com/office/drawing/2014/main" id="{044E2A78-E312-4D77-982C-02D39C938525}"/>
            </a:ext>
          </a:extLst>
        </xdr:cNvPr>
        <xdr:cNvPicPr>
          <a:picLocks noChangeAspect="1" noChangeArrowheads="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rcRect/>
        <a:stretch>
          <a:fillRect/>
        </a:stretch>
      </xdr:blipFill>
      <xdr:spPr bwMode="auto">
        <a:xfrm>
          <a:off x="13259574450" y="2466975"/>
          <a:ext cx="540000" cy="5937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390526</xdr:colOff>
      <xdr:row>6</xdr:row>
      <xdr:rowOff>85725</xdr:rowOff>
    </xdr:from>
    <xdr:to>
      <xdr:col>7</xdr:col>
      <xdr:colOff>1649187</xdr:colOff>
      <xdr:row>15</xdr:row>
      <xdr:rowOff>47625</xdr:rowOff>
    </xdr:to>
    <xdr:pic>
      <xdr:nvPicPr>
        <xdr:cNvPr id="4" name="תמונה 3">
          <a:extLst>
            <a:ext uri="{FF2B5EF4-FFF2-40B4-BE49-F238E27FC236}">
              <a16:creationId xmlns:a16="http://schemas.microsoft.com/office/drawing/2014/main" id="{C4ACC988-5BEE-416D-BE3D-8FEA58E5FD8F}"/>
            </a:ext>
          </a:extLst>
        </xdr:cNvPr>
        <xdr:cNvPicPr>
          <a:picLocks noChangeAspect="1"/>
        </xdr:cNvPicPr>
      </xdr:nvPicPr>
      <xdr:blipFill>
        <a:blip xmlns:r="http://schemas.openxmlformats.org/officeDocument/2006/relationships" r:embed="rId6"/>
        <a:stretch>
          <a:fillRect/>
        </a:stretch>
      </xdr:blipFill>
      <xdr:spPr>
        <a:xfrm>
          <a:off x="13256284038" y="1657350"/>
          <a:ext cx="1258661" cy="1762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18608</xdr:colOff>
      <xdr:row>2</xdr:row>
      <xdr:rowOff>169252</xdr:rowOff>
    </xdr:from>
    <xdr:to>
      <xdr:col>4</xdr:col>
      <xdr:colOff>760429</xdr:colOff>
      <xdr:row>20</xdr:row>
      <xdr:rowOff>43739</xdr:rowOff>
    </xdr:to>
    <xdr:grpSp>
      <xdr:nvGrpSpPr>
        <xdr:cNvPr id="3" name="קבוצה 2">
          <a:extLst>
            <a:ext uri="{FF2B5EF4-FFF2-40B4-BE49-F238E27FC236}">
              <a16:creationId xmlns:a16="http://schemas.microsoft.com/office/drawing/2014/main" id="{F59393B9-2412-4714-BEE4-1193002E4ACD}"/>
            </a:ext>
          </a:extLst>
        </xdr:cNvPr>
        <xdr:cNvGrpSpPr/>
      </xdr:nvGrpSpPr>
      <xdr:grpSpPr>
        <a:xfrm>
          <a:off x="11237901371" y="769327"/>
          <a:ext cx="3170696" cy="4246462"/>
          <a:chOff x="11237901371" y="674077"/>
          <a:chExt cx="3170696" cy="4065487"/>
        </a:xfrm>
        <a:solidFill>
          <a:schemeClr val="accent5">
            <a:lumMod val="40000"/>
            <a:lumOff val="60000"/>
          </a:schemeClr>
        </a:solidFill>
      </xdr:grpSpPr>
      <xdr:sp macro="" textlink="">
        <xdr:nvSpPr>
          <xdr:cNvPr id="2" name="מלבן: פינות מעוגלות 1">
            <a:hlinkClick xmlns:r="http://schemas.openxmlformats.org/officeDocument/2006/relationships" r:id="rId1"/>
            <a:extLst>
              <a:ext uri="{FF2B5EF4-FFF2-40B4-BE49-F238E27FC236}">
                <a16:creationId xmlns:a16="http://schemas.microsoft.com/office/drawing/2014/main" id="{9BED5ABF-87B6-4BF4-9E67-B719E5817B20}"/>
              </a:ext>
            </a:extLst>
          </xdr:cNvPr>
          <xdr:cNvSpPr/>
        </xdr:nvSpPr>
        <xdr:spPr>
          <a:xfrm>
            <a:off x="11237901371" y="991659"/>
            <a:ext cx="3170696" cy="288000"/>
          </a:xfrm>
          <a:prstGeom prst="roundRect">
            <a:avLst/>
          </a:prstGeom>
          <a:grpFill/>
          <a:effectLst>
            <a:outerShdw blurRad="63500" sx="102000" sy="102000" algn="ctr"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2. הסכמה</a:t>
            </a:r>
          </a:p>
        </xdr:txBody>
      </xdr:sp>
      <xdr:sp macro="" textlink="">
        <xdr:nvSpPr>
          <xdr:cNvPr id="5" name="מלבן: פינות מעוגלות 4">
            <a:hlinkClick xmlns:r="http://schemas.openxmlformats.org/officeDocument/2006/relationships" r:id="rId2"/>
            <a:extLst>
              <a:ext uri="{FF2B5EF4-FFF2-40B4-BE49-F238E27FC236}">
                <a16:creationId xmlns:a16="http://schemas.microsoft.com/office/drawing/2014/main" id="{ED7EB392-D749-4F39-9187-7B4E8DF780DA}"/>
              </a:ext>
            </a:extLst>
          </xdr:cNvPr>
          <xdr:cNvSpPr/>
        </xdr:nvSpPr>
        <xdr:spPr>
          <a:xfrm>
            <a:off x="11237901371" y="1303329"/>
            <a:ext cx="3170696" cy="288000"/>
          </a:xfrm>
          <a:prstGeom prst="roundRect">
            <a:avLst/>
          </a:prstGeom>
          <a:grpFill/>
          <a:effectLst>
            <a:outerShdw blurRad="63500" sx="102000" sy="102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05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2.1 סוגיות נוזפות לבחינה בהתאם להמלצות הרשות</a:t>
            </a:r>
          </a:p>
        </xdr:txBody>
      </xdr:sp>
      <xdr:sp macro="" textlink="">
        <xdr:nvSpPr>
          <xdr:cNvPr id="6" name="מלבן: פינות מעוגלות 5">
            <a:hlinkClick xmlns:r="http://schemas.openxmlformats.org/officeDocument/2006/relationships" r:id="rId3"/>
            <a:extLst>
              <a:ext uri="{FF2B5EF4-FFF2-40B4-BE49-F238E27FC236}">
                <a16:creationId xmlns:a16="http://schemas.microsoft.com/office/drawing/2014/main" id="{DE48186F-B764-41EB-B65D-FB5C45D96A32}"/>
              </a:ext>
            </a:extLst>
          </xdr:cNvPr>
          <xdr:cNvSpPr/>
        </xdr:nvSpPr>
        <xdr:spPr>
          <a:xfrm>
            <a:off x="11237901371" y="1617955"/>
            <a:ext cx="3170696" cy="288000"/>
          </a:xfrm>
          <a:prstGeom prst="roundRect">
            <a:avLst/>
          </a:prstGeom>
          <a:grpFill/>
          <a:effectLst>
            <a:outerShdw blurRad="63500" sx="102000" sy="102000" algn="ctr"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3. עיבוד, צמידות מטרה וצמצום מידע</a:t>
            </a:r>
          </a:p>
        </xdr:txBody>
      </xdr:sp>
      <xdr:sp macro="" textlink="">
        <xdr:nvSpPr>
          <xdr:cNvPr id="8" name="מלבן: פינות מעוגלות 7">
            <a:hlinkClick xmlns:r="http://schemas.openxmlformats.org/officeDocument/2006/relationships" r:id="rId4"/>
            <a:extLst>
              <a:ext uri="{FF2B5EF4-FFF2-40B4-BE49-F238E27FC236}">
                <a16:creationId xmlns:a16="http://schemas.microsoft.com/office/drawing/2014/main" id="{3CE3005A-8D81-4EB1-9414-33DA4B3024CA}"/>
              </a:ext>
            </a:extLst>
          </xdr:cNvPr>
          <xdr:cNvSpPr/>
        </xdr:nvSpPr>
        <xdr:spPr>
          <a:xfrm>
            <a:off x="11237901371" y="1936193"/>
            <a:ext cx="3170696" cy="288000"/>
          </a:xfrm>
          <a:prstGeom prst="roundRect">
            <a:avLst/>
          </a:prstGeom>
          <a:grpFill/>
          <a:effectLst>
            <a:outerShdw blurRad="63500" sx="102000" sy="102000" algn="ctr"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4. אבטחת מידע</a:t>
            </a:r>
          </a:p>
        </xdr:txBody>
      </xdr:sp>
      <xdr:sp macro="" textlink="">
        <xdr:nvSpPr>
          <xdr:cNvPr id="9" name="מלבן: פינות מעוגלות 8">
            <a:hlinkClick xmlns:r="http://schemas.openxmlformats.org/officeDocument/2006/relationships" r:id="rId5"/>
            <a:extLst>
              <a:ext uri="{FF2B5EF4-FFF2-40B4-BE49-F238E27FC236}">
                <a16:creationId xmlns:a16="http://schemas.microsoft.com/office/drawing/2014/main" id="{90617D31-BDC4-452C-BE99-BBDADE3C3447}"/>
              </a:ext>
            </a:extLst>
          </xdr:cNvPr>
          <xdr:cNvSpPr/>
        </xdr:nvSpPr>
        <xdr:spPr>
          <a:xfrm>
            <a:off x="11237901371" y="2253774"/>
            <a:ext cx="3170696" cy="288000"/>
          </a:xfrm>
          <a:prstGeom prst="roundRect">
            <a:avLst/>
          </a:prstGeom>
          <a:grpFill/>
          <a:effectLst>
            <a:outerShdw blurRad="63500" sx="102000" sy="102000" algn="ctr"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05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4.1 סעיפי חובה במסמך הגדרות מאגר</a:t>
            </a:r>
          </a:p>
        </xdr:txBody>
      </xdr:sp>
      <xdr:sp macro="" textlink="">
        <xdr:nvSpPr>
          <xdr:cNvPr id="10" name="מלבן: פינות מעוגלות 9">
            <a:hlinkClick xmlns:r="http://schemas.openxmlformats.org/officeDocument/2006/relationships" r:id="rId6"/>
            <a:extLst>
              <a:ext uri="{FF2B5EF4-FFF2-40B4-BE49-F238E27FC236}">
                <a16:creationId xmlns:a16="http://schemas.microsoft.com/office/drawing/2014/main" id="{DC2EA965-38C8-4692-8941-9F29542F245C}"/>
              </a:ext>
            </a:extLst>
          </xdr:cNvPr>
          <xdr:cNvSpPr/>
        </xdr:nvSpPr>
        <xdr:spPr>
          <a:xfrm>
            <a:off x="11237901371" y="2569058"/>
            <a:ext cx="3170696" cy="288000"/>
          </a:xfrm>
          <a:prstGeom prst="roundRect">
            <a:avLst/>
          </a:prstGeom>
          <a:grpFill/>
          <a:effectLst>
            <a:outerShdw blurRad="63500" sx="102000" sy="102000" algn="ctr"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5. בקרה שוטפת</a:t>
            </a:r>
          </a:p>
        </xdr:txBody>
      </xdr:sp>
      <xdr:sp macro="" textlink="">
        <xdr:nvSpPr>
          <xdr:cNvPr id="11" name="מלבן: פינות מעוגלות 10">
            <a:hlinkClick xmlns:r="http://schemas.openxmlformats.org/officeDocument/2006/relationships" r:id="rId7"/>
            <a:extLst>
              <a:ext uri="{FF2B5EF4-FFF2-40B4-BE49-F238E27FC236}">
                <a16:creationId xmlns:a16="http://schemas.microsoft.com/office/drawing/2014/main" id="{DCD5B820-A872-46B9-A36A-942955323504}"/>
              </a:ext>
            </a:extLst>
          </xdr:cNvPr>
          <xdr:cNvSpPr/>
        </xdr:nvSpPr>
        <xdr:spPr>
          <a:xfrm>
            <a:off x="11237901371" y="2883684"/>
            <a:ext cx="3170696" cy="288000"/>
          </a:xfrm>
          <a:prstGeom prst="roundRect">
            <a:avLst/>
          </a:prstGeom>
          <a:grpFill/>
          <a:effectLst>
            <a:outerShdw blurRad="63500" sx="102000" sy="102000" algn="ctr"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05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5.1 תיקון ליקויים</a:t>
            </a:r>
          </a:p>
        </xdr:txBody>
      </xdr:sp>
      <xdr:sp macro="" textlink="">
        <xdr:nvSpPr>
          <xdr:cNvPr id="12" name="מלבן: פינות מעוגלות 11">
            <a:hlinkClick xmlns:r="http://schemas.openxmlformats.org/officeDocument/2006/relationships" r:id="rId8"/>
            <a:extLst>
              <a:ext uri="{FF2B5EF4-FFF2-40B4-BE49-F238E27FC236}">
                <a16:creationId xmlns:a16="http://schemas.microsoft.com/office/drawing/2014/main" id="{081834C9-51B2-46BC-A801-12EE839C3DBC}"/>
              </a:ext>
            </a:extLst>
          </xdr:cNvPr>
          <xdr:cNvSpPr/>
        </xdr:nvSpPr>
        <xdr:spPr>
          <a:xfrm>
            <a:off x="11237901371" y="3201923"/>
            <a:ext cx="3170696" cy="288000"/>
          </a:xfrm>
          <a:prstGeom prst="roundRect">
            <a:avLst/>
          </a:prstGeom>
          <a:grpFill/>
          <a:effectLst>
            <a:outerShdw blurRad="63500" sx="102000" sy="102000" algn="ctr"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6. רישום והודעה על מאגרי מידע</a:t>
            </a:r>
          </a:p>
        </xdr:txBody>
      </xdr:sp>
      <xdr:sp macro="" textlink="">
        <xdr:nvSpPr>
          <xdr:cNvPr id="13" name="מלבן: פינות מעוגלות 12">
            <a:hlinkClick xmlns:r="http://schemas.openxmlformats.org/officeDocument/2006/relationships" r:id="rId9"/>
            <a:extLst>
              <a:ext uri="{FF2B5EF4-FFF2-40B4-BE49-F238E27FC236}">
                <a16:creationId xmlns:a16="http://schemas.microsoft.com/office/drawing/2014/main" id="{9A44C001-92DF-4CAD-A07B-B4D2ED6D24D1}"/>
              </a:ext>
            </a:extLst>
          </xdr:cNvPr>
          <xdr:cNvSpPr/>
        </xdr:nvSpPr>
        <xdr:spPr>
          <a:xfrm>
            <a:off x="11237901371" y="3513593"/>
            <a:ext cx="3170696" cy="288000"/>
          </a:xfrm>
          <a:prstGeom prst="roundRect">
            <a:avLst/>
          </a:prstGeom>
          <a:grpFill/>
          <a:effectLst>
            <a:outerShdw blurRad="63500" sx="102000" sy="102000" algn="ctr"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7. דיוור ישיר</a:t>
            </a:r>
          </a:p>
        </xdr:txBody>
      </xdr:sp>
      <xdr:sp macro="" textlink="">
        <xdr:nvSpPr>
          <xdr:cNvPr id="14" name="מלבן: פינות מעוגלות 13">
            <a:hlinkClick xmlns:r="http://schemas.openxmlformats.org/officeDocument/2006/relationships" r:id="rId10"/>
            <a:extLst>
              <a:ext uri="{FF2B5EF4-FFF2-40B4-BE49-F238E27FC236}">
                <a16:creationId xmlns:a16="http://schemas.microsoft.com/office/drawing/2014/main" id="{9345C8B2-A37B-4C5F-8FE1-6CC2A96481FC}"/>
              </a:ext>
            </a:extLst>
          </xdr:cNvPr>
          <xdr:cNvSpPr/>
        </xdr:nvSpPr>
        <xdr:spPr>
          <a:xfrm>
            <a:off x="11237901371" y="3825263"/>
            <a:ext cx="3170696" cy="288000"/>
          </a:xfrm>
          <a:prstGeom prst="roundRect">
            <a:avLst/>
          </a:prstGeom>
          <a:grpFill/>
          <a:effectLst>
            <a:outerShdw blurRad="63500" sx="102000" sy="102000" algn="ctr"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8. הדרכת עובדים</a:t>
            </a:r>
          </a:p>
        </xdr:txBody>
      </xdr:sp>
      <xdr:sp macro="" textlink="">
        <xdr:nvSpPr>
          <xdr:cNvPr id="15" name="מלבן: פינות מעוגלות 14">
            <a:hlinkClick xmlns:r="http://schemas.openxmlformats.org/officeDocument/2006/relationships" r:id="rId11"/>
            <a:extLst>
              <a:ext uri="{FF2B5EF4-FFF2-40B4-BE49-F238E27FC236}">
                <a16:creationId xmlns:a16="http://schemas.microsoft.com/office/drawing/2014/main" id="{4DCB64E3-467F-4000-9725-2F1C0B810BCA}"/>
              </a:ext>
            </a:extLst>
          </xdr:cNvPr>
          <xdr:cNvSpPr/>
        </xdr:nvSpPr>
        <xdr:spPr>
          <a:xfrm>
            <a:off x="11237901371" y="4139889"/>
            <a:ext cx="3170696" cy="288000"/>
          </a:xfrm>
          <a:prstGeom prst="roundRect">
            <a:avLst/>
          </a:prstGeom>
          <a:grpFill/>
          <a:effectLst>
            <a:outerShdw blurRad="63500" sx="102000" sy="102000" algn="ctr"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9. טיפול בפניות</a:t>
            </a:r>
          </a:p>
        </xdr:txBody>
      </xdr:sp>
      <xdr:sp macro="" textlink="">
        <xdr:nvSpPr>
          <xdr:cNvPr id="16" name="מלבן: פינות מעוגלות 15">
            <a:hlinkClick xmlns:r="http://schemas.openxmlformats.org/officeDocument/2006/relationships" r:id="rId12"/>
            <a:extLst>
              <a:ext uri="{FF2B5EF4-FFF2-40B4-BE49-F238E27FC236}">
                <a16:creationId xmlns:a16="http://schemas.microsoft.com/office/drawing/2014/main" id="{443E9175-736C-4AFD-8458-DC90982956BA}"/>
              </a:ext>
            </a:extLst>
          </xdr:cNvPr>
          <xdr:cNvSpPr/>
        </xdr:nvSpPr>
        <xdr:spPr>
          <a:xfrm>
            <a:off x="11237901371" y="4451564"/>
            <a:ext cx="3170696" cy="288000"/>
          </a:xfrm>
          <a:prstGeom prst="roundRect">
            <a:avLst/>
          </a:prstGeom>
          <a:grpFill/>
          <a:effectLst>
            <a:outerShdw blurRad="63500" sx="102000" sy="102000" algn="ctr"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10.</a:t>
            </a:r>
            <a:r>
              <a:rPr lang="he-IL" sz="1200" b="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אחריות דירקטוריון</a:t>
            </a:r>
          </a:p>
        </xdr:txBody>
      </xdr:sp>
      <xdr:sp macro="" textlink="">
        <xdr:nvSpPr>
          <xdr:cNvPr id="17" name="מלבן: פינות מעוגלות 16">
            <a:extLst>
              <a:ext uri="{FF2B5EF4-FFF2-40B4-BE49-F238E27FC236}">
                <a16:creationId xmlns:a16="http://schemas.microsoft.com/office/drawing/2014/main" id="{333FFB37-B76D-41B0-A928-D217FA783C5A}"/>
              </a:ext>
            </a:extLst>
          </xdr:cNvPr>
          <xdr:cNvSpPr/>
        </xdr:nvSpPr>
        <xdr:spPr>
          <a:xfrm>
            <a:off x="11237901371" y="674077"/>
            <a:ext cx="3170696" cy="288000"/>
          </a:xfrm>
          <a:prstGeom prst="roundRect">
            <a:avLst/>
          </a:prstGeom>
          <a:grpFill/>
          <a:ln w="3175">
            <a:noFill/>
          </a:ln>
          <a:effectLst>
            <a:outerShdw blurRad="63500" sx="102000" sy="102000" algn="ctr"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sp3d/>
          </a:bodyPr>
          <a:lstStyle/>
          <a:p>
            <a:pPr algn="r" rtl="1"/>
            <a:r>
              <a:rPr lang="he-IL" sz="1200" b="0" i="0">
                <a:ln>
                  <a:noFill/>
                </a:ln>
                <a:solidFill>
                  <a:sysClr val="windowText" lastClr="000000"/>
                </a:solidFill>
                <a:effectLst>
                  <a:outerShdw blurRad="63500" sx="102000" sy="102000" algn="ctr"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rPr>
              <a:t>1. יידוע נושאי מידע (אנחנו כאן)</a:t>
            </a:r>
          </a:p>
        </xdr:txBody>
      </xdr:sp>
    </xdr:grpSp>
    <xdr:clientData/>
  </xdr:twoCellAnchor>
  <xdr:twoCellAnchor editAs="oneCell">
    <xdr:from>
      <xdr:col>1</xdr:col>
      <xdr:colOff>38100</xdr:colOff>
      <xdr:row>0</xdr:row>
      <xdr:rowOff>161925</xdr:rowOff>
    </xdr:from>
    <xdr:to>
      <xdr:col>1</xdr:col>
      <xdr:colOff>472550</xdr:colOff>
      <xdr:row>2</xdr:row>
      <xdr:rowOff>29850</xdr:rowOff>
    </xdr:to>
    <xdr:pic>
      <xdr:nvPicPr>
        <xdr:cNvPr id="19" name="תמונה 18">
          <a:hlinkClick xmlns:r="http://schemas.openxmlformats.org/officeDocument/2006/relationships" r:id="rId13"/>
          <a:extLst>
            <a:ext uri="{FF2B5EF4-FFF2-40B4-BE49-F238E27FC236}">
              <a16:creationId xmlns:a16="http://schemas.microsoft.com/office/drawing/2014/main" id="{19FE52BD-80FD-456D-BF26-183152F9B7E5}"/>
            </a:ext>
          </a:extLst>
        </xdr:cNvPr>
        <xdr:cNvPicPr>
          <a:picLocks noChangeAspect="1" noChangeArrowheads="1"/>
        </xdr:cNvPicPr>
      </xdr:nvPicPr>
      <xdr:blipFill>
        <a:blip xmlns:r="http://schemas.openxmlformats.org/officeDocument/2006/relationships" r:embed="rId14" cstate="print">
          <a:duotone>
            <a:prstClr val="black"/>
            <a:srgbClr val="5B9BD5">
              <a:tint val="45000"/>
              <a:satMod val="400000"/>
            </a:srgbClr>
          </a:duotone>
          <a:extLst>
            <a:ext uri="{28A0092B-C50C-407E-A947-70E740481C1C}">
              <a14:useLocalDpi xmlns:a14="http://schemas.microsoft.com/office/drawing/2010/main" val="0"/>
            </a:ext>
          </a:extLst>
        </a:blip>
        <a:srcRect/>
        <a:stretch>
          <a:fillRect/>
        </a:stretch>
      </xdr:blipFill>
      <xdr:spPr bwMode="auto">
        <a:xfrm>
          <a:off x="11240618125" y="161925"/>
          <a:ext cx="434450" cy="46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-36036251</xdr:colOff>
      <xdr:row>0</xdr:row>
      <xdr:rowOff>142875</xdr:rowOff>
    </xdr:from>
    <xdr:to>
      <xdr:col>0</xdr:col>
      <xdr:colOff>-35579052</xdr:colOff>
      <xdr:row>1</xdr:row>
      <xdr:rowOff>394380</xdr:rowOff>
    </xdr:to>
    <xdr:pic>
      <xdr:nvPicPr>
        <xdr:cNvPr id="5" name="גרפיקה 4" descr="בית עם מילוי מלא">
          <a:hlinkClick xmlns:r="http://schemas.openxmlformats.org/officeDocument/2006/relationships" r:id="rId1"/>
          <a:extLst>
            <a:ext uri="{FF2B5EF4-FFF2-40B4-BE49-F238E27FC236}">
              <a16:creationId xmlns:a16="http://schemas.microsoft.com/office/drawing/2014/main" id="{00DF1EFC-35DE-4587-890A-32C179F2F1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230346476" y="142875"/>
          <a:ext cx="457199" cy="453118"/>
        </a:xfrm>
        <a:prstGeom prst="rect">
          <a:avLst/>
        </a:prstGeom>
      </xdr:spPr>
    </xdr:pic>
    <xdr:clientData/>
  </xdr:twoCellAnchor>
  <xdr:twoCellAnchor>
    <xdr:from>
      <xdr:col>1</xdr:col>
      <xdr:colOff>14929</xdr:colOff>
      <xdr:row>3</xdr:row>
      <xdr:rowOff>158994</xdr:rowOff>
    </xdr:from>
    <xdr:to>
      <xdr:col>4</xdr:col>
      <xdr:colOff>756750</xdr:colOff>
      <xdr:row>21</xdr:row>
      <xdr:rowOff>20384</xdr:rowOff>
    </xdr:to>
    <xdr:grpSp>
      <xdr:nvGrpSpPr>
        <xdr:cNvPr id="2" name="קבוצה 1">
          <a:extLst>
            <a:ext uri="{FF2B5EF4-FFF2-40B4-BE49-F238E27FC236}">
              <a16:creationId xmlns:a16="http://schemas.microsoft.com/office/drawing/2014/main" id="{3AD4098F-FEA2-41BF-8F0F-F1BEDC150B13}"/>
            </a:ext>
          </a:extLst>
        </xdr:cNvPr>
        <xdr:cNvGrpSpPr/>
      </xdr:nvGrpSpPr>
      <xdr:grpSpPr>
        <a:xfrm>
          <a:off x="11237905050" y="1025769"/>
          <a:ext cx="3170696" cy="4461965"/>
          <a:chOff x="11237905050" y="873369"/>
          <a:chExt cx="3170696" cy="4071440"/>
        </a:xfrm>
        <a:solidFill>
          <a:schemeClr val="accent5">
            <a:lumMod val="40000"/>
            <a:lumOff val="60000"/>
          </a:schemeClr>
        </a:solidFill>
      </xdr:grpSpPr>
      <xdr:sp macro="" textlink="">
        <xdr:nvSpPr>
          <xdr:cNvPr id="75" name="מלבן: פינות מעוגלות 74">
            <a:extLst>
              <a:ext uri="{FF2B5EF4-FFF2-40B4-BE49-F238E27FC236}">
                <a16:creationId xmlns:a16="http://schemas.microsoft.com/office/drawing/2014/main" id="{53A4077B-7065-417B-B1D6-4C5DBC535B28}"/>
              </a:ext>
            </a:extLst>
          </xdr:cNvPr>
          <xdr:cNvSpPr/>
        </xdr:nvSpPr>
        <xdr:spPr>
          <a:xfrm>
            <a:off x="11237905050" y="1188031"/>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2. הסכמה </a:t>
            </a:r>
            <a:r>
              <a:rPr lang="he-IL" sz="1200" b="1" i="0">
                <a:solidFill>
                  <a:sysClr val="windowText" lastClr="000000"/>
                </a:solidFill>
                <a:effectLst>
                  <a:outerShdw blurRad="63500" sx="102000" sy="102000" algn="ctr" rotWithShape="0">
                    <a:srgbClr val="000000">
                      <a:alpha val="40000"/>
                    </a:srgbClr>
                  </a:outerShdw>
                </a:effectLst>
                <a:latin typeface="Calibri" panose="020F0502020204030204" pitchFamily="34" charset="0"/>
                <a:ea typeface="Calibri" panose="020F0502020204030204" pitchFamily="34" charset="0"/>
                <a:cs typeface="Calibri" panose="020F0502020204030204" pitchFamily="34" charset="0"/>
              </a:rPr>
              <a:t>(אנחנו כאן)</a:t>
            </a:r>
            <a:endParaRPr lang="he-IL"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76" name="מלבן: פינות מעוגלות 75">
            <a:hlinkClick xmlns:r="http://schemas.openxmlformats.org/officeDocument/2006/relationships" r:id="rId4"/>
            <a:extLst>
              <a:ext uri="{FF2B5EF4-FFF2-40B4-BE49-F238E27FC236}">
                <a16:creationId xmlns:a16="http://schemas.microsoft.com/office/drawing/2014/main" id="{4CE7995A-AB06-40CE-8E1C-BF84C5852B4B}"/>
              </a:ext>
            </a:extLst>
          </xdr:cNvPr>
          <xdr:cNvSpPr/>
        </xdr:nvSpPr>
        <xdr:spPr>
          <a:xfrm>
            <a:off x="11237905050" y="1505209"/>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05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2.1 סוגיות נוספות לבחינה בהתאם להמלצות הרשות</a:t>
            </a:r>
          </a:p>
        </xdr:txBody>
      </xdr:sp>
      <xdr:sp macro="" textlink="">
        <xdr:nvSpPr>
          <xdr:cNvPr id="77" name="מלבן: פינות מעוגלות 76">
            <a:hlinkClick xmlns:r="http://schemas.openxmlformats.org/officeDocument/2006/relationships" r:id="rId5"/>
            <a:extLst>
              <a:ext uri="{FF2B5EF4-FFF2-40B4-BE49-F238E27FC236}">
                <a16:creationId xmlns:a16="http://schemas.microsoft.com/office/drawing/2014/main" id="{EC22E5EA-BA49-4B80-977D-9FD6F39F72CA}"/>
              </a:ext>
            </a:extLst>
          </xdr:cNvPr>
          <xdr:cNvSpPr/>
        </xdr:nvSpPr>
        <xdr:spPr>
          <a:xfrm>
            <a:off x="11237905050" y="1823120"/>
            <a:ext cx="3170696" cy="288000"/>
          </a:xfrm>
          <a:prstGeom prst="roundRect">
            <a:avLst/>
          </a:prstGeom>
          <a:grpFill/>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3. עיבוד, צמידות מטרה וצמצום מידע</a:t>
            </a:r>
          </a:p>
        </xdr:txBody>
      </xdr:sp>
      <xdr:sp macro="" textlink="">
        <xdr:nvSpPr>
          <xdr:cNvPr id="78" name="מלבן: פינות מעוגלות 77">
            <a:hlinkClick xmlns:r="http://schemas.openxmlformats.org/officeDocument/2006/relationships" r:id="rId6"/>
            <a:extLst>
              <a:ext uri="{FF2B5EF4-FFF2-40B4-BE49-F238E27FC236}">
                <a16:creationId xmlns:a16="http://schemas.microsoft.com/office/drawing/2014/main" id="{9509ADEF-178F-40E6-A357-19BC34A52391}"/>
              </a:ext>
            </a:extLst>
          </xdr:cNvPr>
          <xdr:cNvSpPr/>
        </xdr:nvSpPr>
        <xdr:spPr>
          <a:xfrm>
            <a:off x="11237905050" y="2136316"/>
            <a:ext cx="3170696" cy="288000"/>
          </a:xfrm>
          <a:prstGeom prst="roundRect">
            <a:avLst/>
          </a:prstGeom>
          <a:grpFill/>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4. אבטחת מידע</a:t>
            </a:r>
          </a:p>
        </xdr:txBody>
      </xdr:sp>
      <xdr:sp macro="" textlink="">
        <xdr:nvSpPr>
          <xdr:cNvPr id="79" name="מלבן: פינות מעוגלות 78">
            <a:hlinkClick xmlns:r="http://schemas.openxmlformats.org/officeDocument/2006/relationships" r:id="rId7"/>
            <a:extLst>
              <a:ext uri="{FF2B5EF4-FFF2-40B4-BE49-F238E27FC236}">
                <a16:creationId xmlns:a16="http://schemas.microsoft.com/office/drawing/2014/main" id="{FEBBD810-5882-41A8-8C81-07D9A024C396}"/>
              </a:ext>
            </a:extLst>
          </xdr:cNvPr>
          <xdr:cNvSpPr/>
        </xdr:nvSpPr>
        <xdr:spPr>
          <a:xfrm>
            <a:off x="11237905050" y="2451365"/>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05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4.1 סעיפי חובה במסמך הגדרות מאגר</a:t>
            </a:r>
          </a:p>
        </xdr:txBody>
      </xdr:sp>
      <xdr:sp macro="" textlink="">
        <xdr:nvSpPr>
          <xdr:cNvPr id="80" name="מלבן: פינות מעוגלות 79">
            <a:hlinkClick xmlns:r="http://schemas.openxmlformats.org/officeDocument/2006/relationships" r:id="rId8"/>
            <a:extLst>
              <a:ext uri="{FF2B5EF4-FFF2-40B4-BE49-F238E27FC236}">
                <a16:creationId xmlns:a16="http://schemas.microsoft.com/office/drawing/2014/main" id="{468AEC4A-F214-4308-9E60-4C78E1A6C7FF}"/>
              </a:ext>
            </a:extLst>
          </xdr:cNvPr>
          <xdr:cNvSpPr/>
        </xdr:nvSpPr>
        <xdr:spPr>
          <a:xfrm>
            <a:off x="11237905050" y="2763829"/>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5. בקרה שוטפת</a:t>
            </a:r>
          </a:p>
        </xdr:txBody>
      </xdr:sp>
      <xdr:sp macro="" textlink="">
        <xdr:nvSpPr>
          <xdr:cNvPr id="81" name="מלבן: פינות מעוגלות 80">
            <a:hlinkClick xmlns:r="http://schemas.openxmlformats.org/officeDocument/2006/relationships" r:id="rId9"/>
            <a:extLst>
              <a:ext uri="{FF2B5EF4-FFF2-40B4-BE49-F238E27FC236}">
                <a16:creationId xmlns:a16="http://schemas.microsoft.com/office/drawing/2014/main" id="{67049F60-9FD3-45EB-AFE7-EE40F7A3ADC9}"/>
              </a:ext>
            </a:extLst>
          </xdr:cNvPr>
          <xdr:cNvSpPr/>
        </xdr:nvSpPr>
        <xdr:spPr>
          <a:xfrm>
            <a:off x="11237905050" y="3079750"/>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05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5.1 תיקון ליקויים</a:t>
            </a:r>
          </a:p>
        </xdr:txBody>
      </xdr:sp>
      <xdr:sp macro="" textlink="">
        <xdr:nvSpPr>
          <xdr:cNvPr id="82" name="מלבן: פינות מעוגלות 81">
            <a:hlinkClick xmlns:r="http://schemas.openxmlformats.org/officeDocument/2006/relationships" r:id="rId10"/>
            <a:extLst>
              <a:ext uri="{FF2B5EF4-FFF2-40B4-BE49-F238E27FC236}">
                <a16:creationId xmlns:a16="http://schemas.microsoft.com/office/drawing/2014/main" id="{B516BB3B-3CF0-49ED-960D-4960BADBD775}"/>
              </a:ext>
            </a:extLst>
          </xdr:cNvPr>
          <xdr:cNvSpPr/>
        </xdr:nvSpPr>
        <xdr:spPr>
          <a:xfrm>
            <a:off x="11237905050" y="3394935"/>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6. רישום והודעה על מאגרי מידע</a:t>
            </a:r>
          </a:p>
        </xdr:txBody>
      </xdr:sp>
      <xdr:sp macro="" textlink="">
        <xdr:nvSpPr>
          <xdr:cNvPr id="83" name="מלבן: פינות מעוגלות 82">
            <a:hlinkClick xmlns:r="http://schemas.openxmlformats.org/officeDocument/2006/relationships" r:id="rId11"/>
            <a:extLst>
              <a:ext uri="{FF2B5EF4-FFF2-40B4-BE49-F238E27FC236}">
                <a16:creationId xmlns:a16="http://schemas.microsoft.com/office/drawing/2014/main" id="{831943F6-A6AB-443F-81E6-67EB51012A87}"/>
              </a:ext>
            </a:extLst>
          </xdr:cNvPr>
          <xdr:cNvSpPr/>
        </xdr:nvSpPr>
        <xdr:spPr>
          <a:xfrm>
            <a:off x="11237905050" y="3708521"/>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7. דיוור ישיר</a:t>
            </a:r>
          </a:p>
        </xdr:txBody>
      </xdr:sp>
      <xdr:sp macro="" textlink="">
        <xdr:nvSpPr>
          <xdr:cNvPr id="84" name="מלבן: פינות מעוגלות 83">
            <a:hlinkClick xmlns:r="http://schemas.openxmlformats.org/officeDocument/2006/relationships" r:id="rId12"/>
            <a:extLst>
              <a:ext uri="{FF2B5EF4-FFF2-40B4-BE49-F238E27FC236}">
                <a16:creationId xmlns:a16="http://schemas.microsoft.com/office/drawing/2014/main" id="{5E7D7240-A726-4C86-B7FA-AC78955DCF9C}"/>
              </a:ext>
            </a:extLst>
          </xdr:cNvPr>
          <xdr:cNvSpPr/>
        </xdr:nvSpPr>
        <xdr:spPr>
          <a:xfrm>
            <a:off x="11237905050" y="4023709"/>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8. הדרכת עובדים</a:t>
            </a:r>
          </a:p>
        </xdr:txBody>
      </xdr:sp>
      <xdr:sp macro="" textlink="">
        <xdr:nvSpPr>
          <xdr:cNvPr id="85" name="מלבן: פינות מעוגלות 84">
            <a:hlinkClick xmlns:r="http://schemas.openxmlformats.org/officeDocument/2006/relationships" r:id="rId13"/>
            <a:extLst>
              <a:ext uri="{FF2B5EF4-FFF2-40B4-BE49-F238E27FC236}">
                <a16:creationId xmlns:a16="http://schemas.microsoft.com/office/drawing/2014/main" id="{AA748AEC-5329-4E65-B4CB-9A5DFE413F3C}"/>
              </a:ext>
            </a:extLst>
          </xdr:cNvPr>
          <xdr:cNvSpPr/>
        </xdr:nvSpPr>
        <xdr:spPr>
          <a:xfrm>
            <a:off x="11237905050" y="4341619"/>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9. טיפול בפניות</a:t>
            </a:r>
          </a:p>
        </xdr:txBody>
      </xdr:sp>
      <xdr:sp macro="" textlink="">
        <xdr:nvSpPr>
          <xdr:cNvPr id="86" name="מלבן: פינות מעוגלות 85">
            <a:hlinkClick xmlns:r="http://schemas.openxmlformats.org/officeDocument/2006/relationships" r:id="rId14"/>
            <a:extLst>
              <a:ext uri="{FF2B5EF4-FFF2-40B4-BE49-F238E27FC236}">
                <a16:creationId xmlns:a16="http://schemas.microsoft.com/office/drawing/2014/main" id="{B36B4EBF-53BE-44B6-BEDD-CF570DEEC808}"/>
              </a:ext>
            </a:extLst>
          </xdr:cNvPr>
          <xdr:cNvSpPr/>
        </xdr:nvSpPr>
        <xdr:spPr>
          <a:xfrm>
            <a:off x="11237905050" y="4656809"/>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10.</a:t>
            </a:r>
            <a:r>
              <a:rPr lang="he-IL" sz="1200" b="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אחריות דירקטוריון</a:t>
            </a:r>
          </a:p>
        </xdr:txBody>
      </xdr:sp>
      <xdr:sp macro="" textlink="">
        <xdr:nvSpPr>
          <xdr:cNvPr id="87" name="מלבן: פינות מעוגלות 86">
            <a:hlinkClick xmlns:r="http://schemas.openxmlformats.org/officeDocument/2006/relationships" r:id="rId15"/>
            <a:extLst>
              <a:ext uri="{FF2B5EF4-FFF2-40B4-BE49-F238E27FC236}">
                <a16:creationId xmlns:a16="http://schemas.microsoft.com/office/drawing/2014/main" id="{E3794CA4-B2C4-4394-8E00-5707EEA76E0B}"/>
              </a:ext>
            </a:extLst>
          </xdr:cNvPr>
          <xdr:cNvSpPr/>
        </xdr:nvSpPr>
        <xdr:spPr>
          <a:xfrm>
            <a:off x="11237905050" y="873369"/>
            <a:ext cx="3170696" cy="288000"/>
          </a:xfrm>
          <a:prstGeom prst="roundRect">
            <a:avLst/>
          </a:prstGeom>
          <a:grpFill/>
          <a:ln w="3175">
            <a:noFill/>
          </a:ln>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sp3d/>
          </a:bodyPr>
          <a:lstStyle/>
          <a:p>
            <a:pPr algn="r" rtl="1"/>
            <a:r>
              <a:rPr lang="he-IL" sz="1200" b="0" i="0">
                <a:ln>
                  <a:noFill/>
                </a:ln>
                <a:solidFill>
                  <a:sysClr val="windowText" lastClr="000000"/>
                </a:solidFill>
                <a:effectLst>
                  <a:outerShdw blurRad="63500" sx="102000" sy="102000" algn="ctr"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rPr>
              <a:t>1. יידוע נושאי מידע</a:t>
            </a:r>
          </a:p>
        </xdr:txBody>
      </xdr:sp>
    </xdr:grpSp>
    <xdr:clientData/>
  </xdr:twoCellAnchor>
  <xdr:twoCellAnchor editAs="oneCell">
    <xdr:from>
      <xdr:col>1</xdr:col>
      <xdr:colOff>38100</xdr:colOff>
      <xdr:row>1</xdr:row>
      <xdr:rowOff>123825</xdr:rowOff>
    </xdr:from>
    <xdr:to>
      <xdr:col>1</xdr:col>
      <xdr:colOff>472550</xdr:colOff>
      <xdr:row>2</xdr:row>
      <xdr:rowOff>191775</xdr:rowOff>
    </xdr:to>
    <xdr:pic>
      <xdr:nvPicPr>
        <xdr:cNvPr id="17" name="תמונה 16">
          <a:hlinkClick xmlns:r="http://schemas.openxmlformats.org/officeDocument/2006/relationships" r:id="rId1"/>
          <a:extLst>
            <a:ext uri="{FF2B5EF4-FFF2-40B4-BE49-F238E27FC236}">
              <a16:creationId xmlns:a16="http://schemas.microsoft.com/office/drawing/2014/main" id="{43B308BC-872D-42DF-9174-EAFA8200CE51}"/>
            </a:ext>
          </a:extLst>
        </xdr:cNvPr>
        <xdr:cNvPicPr>
          <a:picLocks noChangeAspect="1" noChangeArrowheads="1"/>
        </xdr:cNvPicPr>
      </xdr:nvPicPr>
      <xdr:blipFill>
        <a:blip xmlns:r="http://schemas.openxmlformats.org/officeDocument/2006/relationships" r:embed="rId16" cstate="print">
          <a:duotone>
            <a:prstClr val="black"/>
            <a:srgbClr val="5B9BD5">
              <a:tint val="45000"/>
              <a:satMod val="400000"/>
            </a:srgbClr>
          </a:duotone>
          <a:extLst>
            <a:ext uri="{28A0092B-C50C-407E-A947-70E740481C1C}">
              <a14:useLocalDpi xmlns:a14="http://schemas.microsoft.com/office/drawing/2010/main" val="0"/>
            </a:ext>
          </a:extLst>
        </a:blip>
        <a:srcRect/>
        <a:stretch>
          <a:fillRect/>
        </a:stretch>
      </xdr:blipFill>
      <xdr:spPr bwMode="auto">
        <a:xfrm>
          <a:off x="11240618125" y="304800"/>
          <a:ext cx="434450" cy="46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24454</xdr:colOff>
      <xdr:row>2</xdr:row>
      <xdr:rowOff>168519</xdr:rowOff>
    </xdr:from>
    <xdr:to>
      <xdr:col>5</xdr:col>
      <xdr:colOff>152400</xdr:colOff>
      <xdr:row>22</xdr:row>
      <xdr:rowOff>58484</xdr:rowOff>
    </xdr:to>
    <xdr:grpSp>
      <xdr:nvGrpSpPr>
        <xdr:cNvPr id="2" name="קבוצה 1">
          <a:extLst>
            <a:ext uri="{FF2B5EF4-FFF2-40B4-BE49-F238E27FC236}">
              <a16:creationId xmlns:a16="http://schemas.microsoft.com/office/drawing/2014/main" id="{C9C893D0-BE68-4126-AA56-BFDC14B8D229}"/>
            </a:ext>
          </a:extLst>
        </xdr:cNvPr>
        <xdr:cNvGrpSpPr/>
      </xdr:nvGrpSpPr>
      <xdr:grpSpPr>
        <a:xfrm>
          <a:off x="11237699775" y="768594"/>
          <a:ext cx="3366446" cy="4490540"/>
          <a:chOff x="11237895525" y="673344"/>
          <a:chExt cx="3170696" cy="4071440"/>
        </a:xfrm>
        <a:solidFill>
          <a:schemeClr val="accent5">
            <a:lumMod val="40000"/>
            <a:lumOff val="60000"/>
          </a:schemeClr>
        </a:solidFill>
      </xdr:grpSpPr>
      <xdr:sp macro="" textlink="">
        <xdr:nvSpPr>
          <xdr:cNvPr id="74" name="מלבן: פינות מעוגלות 73">
            <a:hlinkClick xmlns:r="http://schemas.openxmlformats.org/officeDocument/2006/relationships" r:id="rId1"/>
            <a:extLst>
              <a:ext uri="{FF2B5EF4-FFF2-40B4-BE49-F238E27FC236}">
                <a16:creationId xmlns:a16="http://schemas.microsoft.com/office/drawing/2014/main" id="{89C6C7B6-3B46-400B-B310-FD2B898DA490}"/>
              </a:ext>
            </a:extLst>
          </xdr:cNvPr>
          <xdr:cNvSpPr/>
        </xdr:nvSpPr>
        <xdr:spPr>
          <a:xfrm>
            <a:off x="11237895525" y="988631"/>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2. הסכמה </a:t>
            </a:r>
          </a:p>
        </xdr:txBody>
      </xdr:sp>
      <xdr:sp macro="" textlink="">
        <xdr:nvSpPr>
          <xdr:cNvPr id="75" name="מלבן: פינות מעוגלות 74">
            <a:extLst>
              <a:ext uri="{FF2B5EF4-FFF2-40B4-BE49-F238E27FC236}">
                <a16:creationId xmlns:a16="http://schemas.microsoft.com/office/drawing/2014/main" id="{A6D42BC7-EEA6-4BF0-87BF-ED4AE347E949}"/>
              </a:ext>
            </a:extLst>
          </xdr:cNvPr>
          <xdr:cNvSpPr/>
        </xdr:nvSpPr>
        <xdr:spPr>
          <a:xfrm>
            <a:off x="11237895525" y="1303918"/>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05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2.1 סוגיות נוספות לבחינה בהתאם להמלצות הרשות (אנחנו כאן)</a:t>
            </a:r>
          </a:p>
        </xdr:txBody>
      </xdr:sp>
      <xdr:sp macro="" textlink="">
        <xdr:nvSpPr>
          <xdr:cNvPr id="76" name="מלבן: פינות מעוגלות 75">
            <a:hlinkClick xmlns:r="http://schemas.openxmlformats.org/officeDocument/2006/relationships" r:id="rId2"/>
            <a:extLst>
              <a:ext uri="{FF2B5EF4-FFF2-40B4-BE49-F238E27FC236}">
                <a16:creationId xmlns:a16="http://schemas.microsoft.com/office/drawing/2014/main" id="{09F5516F-5D7C-4321-8803-F68C0B134079}"/>
              </a:ext>
            </a:extLst>
          </xdr:cNvPr>
          <xdr:cNvSpPr/>
        </xdr:nvSpPr>
        <xdr:spPr>
          <a:xfrm>
            <a:off x="11237895525" y="1619205"/>
            <a:ext cx="3170696" cy="288000"/>
          </a:xfrm>
          <a:prstGeom prst="roundRect">
            <a:avLst/>
          </a:prstGeom>
          <a:grpFill/>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3. עיבוד, צמידות מטרה וצמצום מידע</a:t>
            </a:r>
          </a:p>
        </xdr:txBody>
      </xdr:sp>
      <xdr:sp macro="" textlink="">
        <xdr:nvSpPr>
          <xdr:cNvPr id="77" name="מלבן: פינות מעוגלות 76">
            <a:hlinkClick xmlns:r="http://schemas.openxmlformats.org/officeDocument/2006/relationships" r:id="rId3"/>
            <a:extLst>
              <a:ext uri="{FF2B5EF4-FFF2-40B4-BE49-F238E27FC236}">
                <a16:creationId xmlns:a16="http://schemas.microsoft.com/office/drawing/2014/main" id="{D9E94D09-0B1A-4343-A7F8-796063F7EEB5}"/>
              </a:ext>
            </a:extLst>
          </xdr:cNvPr>
          <xdr:cNvSpPr/>
        </xdr:nvSpPr>
        <xdr:spPr>
          <a:xfrm>
            <a:off x="11237895525" y="1934492"/>
            <a:ext cx="3170696" cy="288000"/>
          </a:xfrm>
          <a:prstGeom prst="roundRect">
            <a:avLst/>
          </a:prstGeom>
          <a:grpFill/>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4. אבטחת מידע</a:t>
            </a:r>
          </a:p>
        </xdr:txBody>
      </xdr:sp>
      <xdr:sp macro="" textlink="">
        <xdr:nvSpPr>
          <xdr:cNvPr id="78" name="מלבן: פינות מעוגלות 77">
            <a:hlinkClick xmlns:r="http://schemas.openxmlformats.org/officeDocument/2006/relationships" r:id="rId4"/>
            <a:extLst>
              <a:ext uri="{FF2B5EF4-FFF2-40B4-BE49-F238E27FC236}">
                <a16:creationId xmlns:a16="http://schemas.microsoft.com/office/drawing/2014/main" id="{18C57AB5-CD04-4BD9-9D51-275534023B28}"/>
              </a:ext>
            </a:extLst>
          </xdr:cNvPr>
          <xdr:cNvSpPr/>
        </xdr:nvSpPr>
        <xdr:spPr>
          <a:xfrm>
            <a:off x="11237895525" y="2249779"/>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05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4.1 סעיפי חובה במסמך הגדרות מאגר</a:t>
            </a:r>
          </a:p>
        </xdr:txBody>
      </xdr:sp>
      <xdr:sp macro="" textlink="">
        <xdr:nvSpPr>
          <xdr:cNvPr id="79" name="מלבן: פינות מעוגלות 78">
            <a:hlinkClick xmlns:r="http://schemas.openxmlformats.org/officeDocument/2006/relationships" r:id="rId5"/>
            <a:extLst>
              <a:ext uri="{FF2B5EF4-FFF2-40B4-BE49-F238E27FC236}">
                <a16:creationId xmlns:a16="http://schemas.microsoft.com/office/drawing/2014/main" id="{05E6C84F-A111-4986-83FB-DD57FF04D2B4}"/>
              </a:ext>
            </a:extLst>
          </xdr:cNvPr>
          <xdr:cNvSpPr/>
        </xdr:nvSpPr>
        <xdr:spPr>
          <a:xfrm>
            <a:off x="11237895525" y="2565066"/>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5. בקרה שוטפת</a:t>
            </a:r>
          </a:p>
        </xdr:txBody>
      </xdr:sp>
      <xdr:sp macro="" textlink="">
        <xdr:nvSpPr>
          <xdr:cNvPr id="80" name="מלבן: פינות מעוגלות 79">
            <a:hlinkClick xmlns:r="http://schemas.openxmlformats.org/officeDocument/2006/relationships" r:id="rId6"/>
            <a:extLst>
              <a:ext uri="{FF2B5EF4-FFF2-40B4-BE49-F238E27FC236}">
                <a16:creationId xmlns:a16="http://schemas.microsoft.com/office/drawing/2014/main" id="{3C221C8C-7A34-4784-9C1E-4AAE1E98D406}"/>
              </a:ext>
            </a:extLst>
          </xdr:cNvPr>
          <xdr:cNvSpPr/>
        </xdr:nvSpPr>
        <xdr:spPr>
          <a:xfrm>
            <a:off x="11237895525" y="2880353"/>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05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5.1 תיקון ליקויים</a:t>
            </a:r>
          </a:p>
        </xdr:txBody>
      </xdr:sp>
      <xdr:sp macro="" textlink="">
        <xdr:nvSpPr>
          <xdr:cNvPr id="81" name="מלבן: פינות מעוגלות 80">
            <a:hlinkClick xmlns:r="http://schemas.openxmlformats.org/officeDocument/2006/relationships" r:id="rId7"/>
            <a:extLst>
              <a:ext uri="{FF2B5EF4-FFF2-40B4-BE49-F238E27FC236}">
                <a16:creationId xmlns:a16="http://schemas.microsoft.com/office/drawing/2014/main" id="{4303B31E-5224-4EAA-9632-7F12AAF6C6A4}"/>
              </a:ext>
            </a:extLst>
          </xdr:cNvPr>
          <xdr:cNvSpPr/>
        </xdr:nvSpPr>
        <xdr:spPr>
          <a:xfrm>
            <a:off x="11237895525" y="3195640"/>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6. רישום והודעה על מאגרי מידע</a:t>
            </a:r>
          </a:p>
        </xdr:txBody>
      </xdr:sp>
      <xdr:sp macro="" textlink="">
        <xdr:nvSpPr>
          <xdr:cNvPr id="82" name="מלבן: פינות מעוגלות 81">
            <a:hlinkClick xmlns:r="http://schemas.openxmlformats.org/officeDocument/2006/relationships" r:id="rId8"/>
            <a:extLst>
              <a:ext uri="{FF2B5EF4-FFF2-40B4-BE49-F238E27FC236}">
                <a16:creationId xmlns:a16="http://schemas.microsoft.com/office/drawing/2014/main" id="{2845BDA9-A921-45DB-9BE6-8D9A38EB1776}"/>
              </a:ext>
            </a:extLst>
          </xdr:cNvPr>
          <xdr:cNvSpPr/>
        </xdr:nvSpPr>
        <xdr:spPr>
          <a:xfrm>
            <a:off x="11237895525" y="3510927"/>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7. דיוור ישיר</a:t>
            </a:r>
          </a:p>
        </xdr:txBody>
      </xdr:sp>
      <xdr:sp macro="" textlink="">
        <xdr:nvSpPr>
          <xdr:cNvPr id="83" name="מלבן: פינות מעוגלות 82">
            <a:hlinkClick xmlns:r="http://schemas.openxmlformats.org/officeDocument/2006/relationships" r:id="rId9"/>
            <a:extLst>
              <a:ext uri="{FF2B5EF4-FFF2-40B4-BE49-F238E27FC236}">
                <a16:creationId xmlns:a16="http://schemas.microsoft.com/office/drawing/2014/main" id="{F8C857AC-BEF7-4192-B2B1-0D2B1567C566}"/>
              </a:ext>
            </a:extLst>
          </xdr:cNvPr>
          <xdr:cNvSpPr/>
        </xdr:nvSpPr>
        <xdr:spPr>
          <a:xfrm>
            <a:off x="11237895525" y="3826214"/>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8. הדרכת עובדים</a:t>
            </a:r>
          </a:p>
        </xdr:txBody>
      </xdr:sp>
      <xdr:sp macro="" textlink="">
        <xdr:nvSpPr>
          <xdr:cNvPr id="84" name="מלבן: פינות מעוגלות 83">
            <a:hlinkClick xmlns:r="http://schemas.openxmlformats.org/officeDocument/2006/relationships" r:id="rId10"/>
            <a:extLst>
              <a:ext uri="{FF2B5EF4-FFF2-40B4-BE49-F238E27FC236}">
                <a16:creationId xmlns:a16="http://schemas.microsoft.com/office/drawing/2014/main" id="{03048922-F94C-49AB-99EA-1BDD1D43757E}"/>
              </a:ext>
            </a:extLst>
          </xdr:cNvPr>
          <xdr:cNvSpPr/>
        </xdr:nvSpPr>
        <xdr:spPr>
          <a:xfrm>
            <a:off x="11237895525" y="4141501"/>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9. טיפול בפניות</a:t>
            </a:r>
          </a:p>
        </xdr:txBody>
      </xdr:sp>
      <xdr:sp macro="" textlink="">
        <xdr:nvSpPr>
          <xdr:cNvPr id="85" name="מלבן: פינות מעוגלות 84">
            <a:hlinkClick xmlns:r="http://schemas.openxmlformats.org/officeDocument/2006/relationships" r:id="rId11"/>
            <a:extLst>
              <a:ext uri="{FF2B5EF4-FFF2-40B4-BE49-F238E27FC236}">
                <a16:creationId xmlns:a16="http://schemas.microsoft.com/office/drawing/2014/main" id="{77213724-C12F-4A62-A638-BD9F2C0F2D2F}"/>
              </a:ext>
            </a:extLst>
          </xdr:cNvPr>
          <xdr:cNvSpPr/>
        </xdr:nvSpPr>
        <xdr:spPr>
          <a:xfrm>
            <a:off x="11237895525" y="4456784"/>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10.</a:t>
            </a:r>
            <a:r>
              <a:rPr lang="he-IL" sz="1200" b="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אחריות דירקטוריון</a:t>
            </a:r>
          </a:p>
        </xdr:txBody>
      </xdr:sp>
      <xdr:sp macro="" textlink="">
        <xdr:nvSpPr>
          <xdr:cNvPr id="86" name="מלבן: פינות מעוגלות 85">
            <a:hlinkClick xmlns:r="http://schemas.openxmlformats.org/officeDocument/2006/relationships" r:id="rId12"/>
            <a:extLst>
              <a:ext uri="{FF2B5EF4-FFF2-40B4-BE49-F238E27FC236}">
                <a16:creationId xmlns:a16="http://schemas.microsoft.com/office/drawing/2014/main" id="{2D52B8BF-7051-48E2-A668-B31830E3FBC3}"/>
              </a:ext>
            </a:extLst>
          </xdr:cNvPr>
          <xdr:cNvSpPr/>
        </xdr:nvSpPr>
        <xdr:spPr>
          <a:xfrm>
            <a:off x="11237895525" y="673344"/>
            <a:ext cx="3170696" cy="288000"/>
          </a:xfrm>
          <a:prstGeom prst="roundRect">
            <a:avLst/>
          </a:prstGeom>
          <a:grpFill/>
          <a:ln w="3175">
            <a:noFill/>
          </a:ln>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sp3d/>
          </a:bodyPr>
          <a:lstStyle/>
          <a:p>
            <a:pPr algn="r" rtl="1"/>
            <a:r>
              <a:rPr lang="he-IL" sz="1200" b="0" i="0">
                <a:ln>
                  <a:noFill/>
                </a:ln>
                <a:solidFill>
                  <a:sysClr val="windowText" lastClr="000000"/>
                </a:solidFill>
                <a:effectLst>
                  <a:outerShdw blurRad="63500" sx="102000" sy="102000" algn="ctr"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rPr>
              <a:t>1. יידוע נושאי מידע</a:t>
            </a:r>
          </a:p>
        </xdr:txBody>
      </xdr:sp>
    </xdr:grpSp>
    <xdr:clientData/>
  </xdr:twoCellAnchor>
  <xdr:twoCellAnchor editAs="oneCell">
    <xdr:from>
      <xdr:col>1</xdr:col>
      <xdr:colOff>57150</xdr:colOff>
      <xdr:row>0</xdr:row>
      <xdr:rowOff>171450</xdr:rowOff>
    </xdr:from>
    <xdr:to>
      <xdr:col>1</xdr:col>
      <xdr:colOff>491600</xdr:colOff>
      <xdr:row>2</xdr:row>
      <xdr:rowOff>20325</xdr:rowOff>
    </xdr:to>
    <xdr:pic>
      <xdr:nvPicPr>
        <xdr:cNvPr id="16" name="תמונה 15">
          <a:hlinkClick xmlns:r="http://schemas.openxmlformats.org/officeDocument/2006/relationships" r:id="rId13"/>
          <a:extLst>
            <a:ext uri="{FF2B5EF4-FFF2-40B4-BE49-F238E27FC236}">
              <a16:creationId xmlns:a16="http://schemas.microsoft.com/office/drawing/2014/main" id="{C2F1F20A-F033-45F3-8697-E08F5CCBB04C}"/>
            </a:ext>
          </a:extLst>
        </xdr:cNvPr>
        <xdr:cNvPicPr>
          <a:picLocks noChangeAspect="1" noChangeArrowheads="1"/>
        </xdr:cNvPicPr>
      </xdr:nvPicPr>
      <xdr:blipFill>
        <a:blip xmlns:r="http://schemas.openxmlformats.org/officeDocument/2006/relationships" r:embed="rId14" cstate="print">
          <a:duotone>
            <a:prstClr val="black"/>
            <a:srgbClr val="5B9BD5">
              <a:tint val="45000"/>
              <a:satMod val="400000"/>
            </a:srgbClr>
          </a:duotone>
          <a:extLst>
            <a:ext uri="{28A0092B-C50C-407E-A947-70E740481C1C}">
              <a14:useLocalDpi xmlns:a14="http://schemas.microsoft.com/office/drawing/2010/main" val="0"/>
            </a:ext>
          </a:extLst>
        </a:blip>
        <a:srcRect/>
        <a:stretch>
          <a:fillRect/>
        </a:stretch>
      </xdr:blipFill>
      <xdr:spPr bwMode="auto">
        <a:xfrm>
          <a:off x="11240599075" y="171450"/>
          <a:ext cx="434450" cy="44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268636</xdr:colOff>
      <xdr:row>2</xdr:row>
      <xdr:rowOff>168519</xdr:rowOff>
    </xdr:from>
    <xdr:to>
      <xdr:col>4</xdr:col>
      <xdr:colOff>734232</xdr:colOff>
      <xdr:row>21</xdr:row>
      <xdr:rowOff>48959</xdr:rowOff>
    </xdr:to>
    <xdr:grpSp>
      <xdr:nvGrpSpPr>
        <xdr:cNvPr id="2" name="קבוצה 1">
          <a:extLst>
            <a:ext uri="{FF2B5EF4-FFF2-40B4-BE49-F238E27FC236}">
              <a16:creationId xmlns:a16="http://schemas.microsoft.com/office/drawing/2014/main" id="{D1E76275-E81A-4D3C-B109-913C3C19A4A8}"/>
            </a:ext>
          </a:extLst>
        </xdr:cNvPr>
        <xdr:cNvGrpSpPr/>
      </xdr:nvGrpSpPr>
      <xdr:grpSpPr>
        <a:xfrm>
          <a:off x="11238432393" y="768594"/>
          <a:ext cx="3170696" cy="4681040"/>
          <a:chOff x="11238432393" y="673344"/>
          <a:chExt cx="3170696" cy="4071440"/>
        </a:xfrm>
        <a:solidFill>
          <a:schemeClr val="accent5">
            <a:lumMod val="40000"/>
            <a:lumOff val="60000"/>
          </a:schemeClr>
        </a:solidFill>
      </xdr:grpSpPr>
      <xdr:sp macro="" textlink="">
        <xdr:nvSpPr>
          <xdr:cNvPr id="102" name="מלבן: פינות מעוגלות 101">
            <a:hlinkClick xmlns:r="http://schemas.openxmlformats.org/officeDocument/2006/relationships" r:id="rId1"/>
            <a:extLst>
              <a:ext uri="{FF2B5EF4-FFF2-40B4-BE49-F238E27FC236}">
                <a16:creationId xmlns:a16="http://schemas.microsoft.com/office/drawing/2014/main" id="{F7D7A011-ED94-4880-8B5F-FC78FC533F4F}"/>
              </a:ext>
            </a:extLst>
          </xdr:cNvPr>
          <xdr:cNvSpPr/>
        </xdr:nvSpPr>
        <xdr:spPr>
          <a:xfrm>
            <a:off x="11238432393" y="988631"/>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2. הסכמה </a:t>
            </a:r>
          </a:p>
        </xdr:txBody>
      </xdr:sp>
      <xdr:sp macro="" textlink="">
        <xdr:nvSpPr>
          <xdr:cNvPr id="103" name="מלבן: פינות מעוגלות 102">
            <a:hlinkClick xmlns:r="http://schemas.openxmlformats.org/officeDocument/2006/relationships" r:id="rId2"/>
            <a:extLst>
              <a:ext uri="{FF2B5EF4-FFF2-40B4-BE49-F238E27FC236}">
                <a16:creationId xmlns:a16="http://schemas.microsoft.com/office/drawing/2014/main" id="{6C82C963-ED59-4931-8A9A-39A20BC80680}"/>
              </a:ext>
            </a:extLst>
          </xdr:cNvPr>
          <xdr:cNvSpPr/>
        </xdr:nvSpPr>
        <xdr:spPr>
          <a:xfrm>
            <a:off x="11238432393" y="1303918"/>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05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2.1 סוגיות נוספות לבחינה בהתאם להמלצות הרשות</a:t>
            </a:r>
          </a:p>
        </xdr:txBody>
      </xdr:sp>
      <xdr:sp macro="" textlink="">
        <xdr:nvSpPr>
          <xdr:cNvPr id="104" name="מלבן: פינות מעוגלות 103">
            <a:extLst>
              <a:ext uri="{FF2B5EF4-FFF2-40B4-BE49-F238E27FC236}">
                <a16:creationId xmlns:a16="http://schemas.microsoft.com/office/drawing/2014/main" id="{B11B3258-657E-4F17-A562-68C6D4324569}"/>
              </a:ext>
            </a:extLst>
          </xdr:cNvPr>
          <xdr:cNvSpPr/>
        </xdr:nvSpPr>
        <xdr:spPr>
          <a:xfrm>
            <a:off x="11238432393" y="1619205"/>
            <a:ext cx="3170696" cy="288000"/>
          </a:xfrm>
          <a:prstGeom prst="roundRect">
            <a:avLst/>
          </a:prstGeom>
          <a:grpFill/>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3. עיבוד, צמידות מטרה וצמצום מידע (אנחנו כאן)</a:t>
            </a:r>
          </a:p>
        </xdr:txBody>
      </xdr:sp>
      <xdr:sp macro="" textlink="">
        <xdr:nvSpPr>
          <xdr:cNvPr id="105" name="מלבן: פינות מעוגלות 104">
            <a:hlinkClick xmlns:r="http://schemas.openxmlformats.org/officeDocument/2006/relationships" r:id="rId3"/>
            <a:extLst>
              <a:ext uri="{FF2B5EF4-FFF2-40B4-BE49-F238E27FC236}">
                <a16:creationId xmlns:a16="http://schemas.microsoft.com/office/drawing/2014/main" id="{223A1178-1B83-43F2-83A2-CD47207AC6D0}"/>
              </a:ext>
            </a:extLst>
          </xdr:cNvPr>
          <xdr:cNvSpPr/>
        </xdr:nvSpPr>
        <xdr:spPr>
          <a:xfrm>
            <a:off x="11238432393" y="1934492"/>
            <a:ext cx="3170696" cy="288000"/>
          </a:xfrm>
          <a:prstGeom prst="roundRect">
            <a:avLst/>
          </a:prstGeom>
          <a:grpFill/>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4. אבטחת מידע</a:t>
            </a:r>
          </a:p>
        </xdr:txBody>
      </xdr:sp>
      <xdr:sp macro="" textlink="">
        <xdr:nvSpPr>
          <xdr:cNvPr id="106" name="מלבן: פינות מעוגלות 105">
            <a:hlinkClick xmlns:r="http://schemas.openxmlformats.org/officeDocument/2006/relationships" r:id="rId4"/>
            <a:extLst>
              <a:ext uri="{FF2B5EF4-FFF2-40B4-BE49-F238E27FC236}">
                <a16:creationId xmlns:a16="http://schemas.microsoft.com/office/drawing/2014/main" id="{CD8AB6A5-8E47-4FEA-A156-1B234607AC68}"/>
              </a:ext>
            </a:extLst>
          </xdr:cNvPr>
          <xdr:cNvSpPr/>
        </xdr:nvSpPr>
        <xdr:spPr>
          <a:xfrm>
            <a:off x="11238432393" y="2249779"/>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05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4.1 סעיפי חובה במסמך הגדרות מאגר</a:t>
            </a:r>
          </a:p>
        </xdr:txBody>
      </xdr:sp>
      <xdr:sp macro="" textlink="">
        <xdr:nvSpPr>
          <xdr:cNvPr id="107" name="מלבן: פינות מעוגלות 106">
            <a:hlinkClick xmlns:r="http://schemas.openxmlformats.org/officeDocument/2006/relationships" r:id="rId5"/>
            <a:extLst>
              <a:ext uri="{FF2B5EF4-FFF2-40B4-BE49-F238E27FC236}">
                <a16:creationId xmlns:a16="http://schemas.microsoft.com/office/drawing/2014/main" id="{D28A6D45-0C62-4D02-A670-C476C0166691}"/>
              </a:ext>
            </a:extLst>
          </xdr:cNvPr>
          <xdr:cNvSpPr/>
        </xdr:nvSpPr>
        <xdr:spPr>
          <a:xfrm>
            <a:off x="11238432393" y="2565066"/>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5. בקרה שוטפת</a:t>
            </a:r>
          </a:p>
        </xdr:txBody>
      </xdr:sp>
      <xdr:sp macro="" textlink="">
        <xdr:nvSpPr>
          <xdr:cNvPr id="108" name="מלבן: פינות מעוגלות 107">
            <a:hlinkClick xmlns:r="http://schemas.openxmlformats.org/officeDocument/2006/relationships" r:id="rId6"/>
            <a:extLst>
              <a:ext uri="{FF2B5EF4-FFF2-40B4-BE49-F238E27FC236}">
                <a16:creationId xmlns:a16="http://schemas.microsoft.com/office/drawing/2014/main" id="{29058872-6A12-4715-9028-B378F03BEA29}"/>
              </a:ext>
            </a:extLst>
          </xdr:cNvPr>
          <xdr:cNvSpPr/>
        </xdr:nvSpPr>
        <xdr:spPr>
          <a:xfrm>
            <a:off x="11238432393" y="2880353"/>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05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5.1 תיקון ליקויים</a:t>
            </a:r>
          </a:p>
        </xdr:txBody>
      </xdr:sp>
      <xdr:sp macro="" textlink="">
        <xdr:nvSpPr>
          <xdr:cNvPr id="109" name="מלבן: פינות מעוגלות 108">
            <a:hlinkClick xmlns:r="http://schemas.openxmlformats.org/officeDocument/2006/relationships" r:id="rId7"/>
            <a:extLst>
              <a:ext uri="{FF2B5EF4-FFF2-40B4-BE49-F238E27FC236}">
                <a16:creationId xmlns:a16="http://schemas.microsoft.com/office/drawing/2014/main" id="{AE7F4566-6DA7-4B8D-9B65-45B917DA1F22}"/>
              </a:ext>
            </a:extLst>
          </xdr:cNvPr>
          <xdr:cNvSpPr/>
        </xdr:nvSpPr>
        <xdr:spPr>
          <a:xfrm>
            <a:off x="11238432393" y="3195640"/>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6. רישום והודעה על מאגרי מידע</a:t>
            </a:r>
          </a:p>
        </xdr:txBody>
      </xdr:sp>
      <xdr:sp macro="" textlink="">
        <xdr:nvSpPr>
          <xdr:cNvPr id="110" name="מלבן: פינות מעוגלות 109">
            <a:hlinkClick xmlns:r="http://schemas.openxmlformats.org/officeDocument/2006/relationships" r:id="rId8"/>
            <a:extLst>
              <a:ext uri="{FF2B5EF4-FFF2-40B4-BE49-F238E27FC236}">
                <a16:creationId xmlns:a16="http://schemas.microsoft.com/office/drawing/2014/main" id="{59036C1D-2794-4F61-ABB6-9769E6128B2C}"/>
              </a:ext>
            </a:extLst>
          </xdr:cNvPr>
          <xdr:cNvSpPr/>
        </xdr:nvSpPr>
        <xdr:spPr>
          <a:xfrm>
            <a:off x="11238432393" y="3510927"/>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7. דיוור ישיר</a:t>
            </a:r>
          </a:p>
        </xdr:txBody>
      </xdr:sp>
      <xdr:sp macro="" textlink="">
        <xdr:nvSpPr>
          <xdr:cNvPr id="111" name="מלבן: פינות מעוגלות 110">
            <a:hlinkClick xmlns:r="http://schemas.openxmlformats.org/officeDocument/2006/relationships" r:id="rId9"/>
            <a:extLst>
              <a:ext uri="{FF2B5EF4-FFF2-40B4-BE49-F238E27FC236}">
                <a16:creationId xmlns:a16="http://schemas.microsoft.com/office/drawing/2014/main" id="{6650E205-B88C-48C5-8A73-AC4E1DA82370}"/>
              </a:ext>
            </a:extLst>
          </xdr:cNvPr>
          <xdr:cNvSpPr/>
        </xdr:nvSpPr>
        <xdr:spPr>
          <a:xfrm>
            <a:off x="11238432393" y="3826214"/>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8. הדרכת עובדים</a:t>
            </a:r>
          </a:p>
        </xdr:txBody>
      </xdr:sp>
      <xdr:sp macro="" textlink="">
        <xdr:nvSpPr>
          <xdr:cNvPr id="112" name="מלבן: פינות מעוגלות 111">
            <a:hlinkClick xmlns:r="http://schemas.openxmlformats.org/officeDocument/2006/relationships" r:id="rId10"/>
            <a:extLst>
              <a:ext uri="{FF2B5EF4-FFF2-40B4-BE49-F238E27FC236}">
                <a16:creationId xmlns:a16="http://schemas.microsoft.com/office/drawing/2014/main" id="{E672E037-7C41-473F-965F-2E994C8413F4}"/>
              </a:ext>
            </a:extLst>
          </xdr:cNvPr>
          <xdr:cNvSpPr/>
        </xdr:nvSpPr>
        <xdr:spPr>
          <a:xfrm>
            <a:off x="11238432393" y="4141501"/>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9. טיפול בפניות</a:t>
            </a:r>
          </a:p>
        </xdr:txBody>
      </xdr:sp>
      <xdr:sp macro="" textlink="">
        <xdr:nvSpPr>
          <xdr:cNvPr id="113" name="מלבן: פינות מעוגלות 112">
            <a:hlinkClick xmlns:r="http://schemas.openxmlformats.org/officeDocument/2006/relationships" r:id="rId11"/>
            <a:extLst>
              <a:ext uri="{FF2B5EF4-FFF2-40B4-BE49-F238E27FC236}">
                <a16:creationId xmlns:a16="http://schemas.microsoft.com/office/drawing/2014/main" id="{E3CFA0B9-3438-4AAC-B694-FF414C15476B}"/>
              </a:ext>
            </a:extLst>
          </xdr:cNvPr>
          <xdr:cNvSpPr/>
        </xdr:nvSpPr>
        <xdr:spPr>
          <a:xfrm>
            <a:off x="11238432393" y="4456784"/>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10.</a:t>
            </a:r>
            <a:r>
              <a:rPr lang="he-IL" sz="1200" b="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אחריות דירקטוריון</a:t>
            </a:r>
          </a:p>
        </xdr:txBody>
      </xdr:sp>
      <xdr:sp macro="" textlink="">
        <xdr:nvSpPr>
          <xdr:cNvPr id="114" name="מלבן: פינות מעוגלות 113">
            <a:hlinkClick xmlns:r="http://schemas.openxmlformats.org/officeDocument/2006/relationships" r:id="rId12"/>
            <a:extLst>
              <a:ext uri="{FF2B5EF4-FFF2-40B4-BE49-F238E27FC236}">
                <a16:creationId xmlns:a16="http://schemas.microsoft.com/office/drawing/2014/main" id="{BEACE765-15BF-4027-BAC6-00ADFBB56469}"/>
              </a:ext>
            </a:extLst>
          </xdr:cNvPr>
          <xdr:cNvSpPr/>
        </xdr:nvSpPr>
        <xdr:spPr>
          <a:xfrm>
            <a:off x="11238432393" y="673344"/>
            <a:ext cx="3170696" cy="288000"/>
          </a:xfrm>
          <a:prstGeom prst="roundRect">
            <a:avLst/>
          </a:prstGeom>
          <a:grpFill/>
          <a:ln w="3175">
            <a:noFill/>
          </a:ln>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sp3d/>
          </a:bodyPr>
          <a:lstStyle/>
          <a:p>
            <a:pPr algn="r" rtl="1"/>
            <a:r>
              <a:rPr lang="he-IL" sz="1200" b="0" i="0">
                <a:ln>
                  <a:noFill/>
                </a:ln>
                <a:solidFill>
                  <a:sysClr val="windowText" lastClr="000000"/>
                </a:solidFill>
                <a:effectLst>
                  <a:outerShdw blurRad="63500" sx="102000" sy="102000" algn="ctr"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rPr>
              <a:t>1. יידוע נושאי מידע</a:t>
            </a:r>
          </a:p>
        </xdr:txBody>
      </xdr:sp>
    </xdr:grpSp>
    <xdr:clientData/>
  </xdr:twoCellAnchor>
  <xdr:twoCellAnchor editAs="oneCell">
    <xdr:from>
      <xdr:col>1</xdr:col>
      <xdr:colOff>9525</xdr:colOff>
      <xdr:row>0</xdr:row>
      <xdr:rowOff>171450</xdr:rowOff>
    </xdr:from>
    <xdr:to>
      <xdr:col>1</xdr:col>
      <xdr:colOff>443975</xdr:colOff>
      <xdr:row>2</xdr:row>
      <xdr:rowOff>20325</xdr:rowOff>
    </xdr:to>
    <xdr:pic>
      <xdr:nvPicPr>
        <xdr:cNvPr id="16" name="תמונה 15">
          <a:hlinkClick xmlns:r="http://schemas.openxmlformats.org/officeDocument/2006/relationships" r:id="rId13"/>
          <a:extLst>
            <a:ext uri="{FF2B5EF4-FFF2-40B4-BE49-F238E27FC236}">
              <a16:creationId xmlns:a16="http://schemas.microsoft.com/office/drawing/2014/main" id="{4DE12E8A-BEC6-427E-BC0C-180D67830DE9}"/>
            </a:ext>
          </a:extLst>
        </xdr:cNvPr>
        <xdr:cNvPicPr>
          <a:picLocks noChangeAspect="1" noChangeArrowheads="1"/>
        </xdr:cNvPicPr>
      </xdr:nvPicPr>
      <xdr:blipFill>
        <a:blip xmlns:r="http://schemas.openxmlformats.org/officeDocument/2006/relationships" r:embed="rId14" cstate="print">
          <a:duotone>
            <a:prstClr val="black"/>
            <a:srgbClr val="5B9BD5">
              <a:tint val="45000"/>
              <a:satMod val="400000"/>
            </a:srgbClr>
          </a:duotone>
          <a:extLst>
            <a:ext uri="{28A0092B-C50C-407E-A947-70E740481C1C}">
              <a14:useLocalDpi xmlns:a14="http://schemas.microsoft.com/office/drawing/2010/main" val="0"/>
            </a:ext>
          </a:extLst>
        </a:blip>
        <a:srcRect/>
        <a:stretch>
          <a:fillRect/>
        </a:stretch>
      </xdr:blipFill>
      <xdr:spPr bwMode="auto">
        <a:xfrm>
          <a:off x="11241151525" y="171450"/>
          <a:ext cx="434450" cy="44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23881</xdr:colOff>
      <xdr:row>2</xdr:row>
      <xdr:rowOff>178044</xdr:rowOff>
    </xdr:from>
    <xdr:to>
      <xdr:col>4</xdr:col>
      <xdr:colOff>765702</xdr:colOff>
      <xdr:row>18</xdr:row>
      <xdr:rowOff>58484</xdr:rowOff>
    </xdr:to>
    <xdr:grpSp>
      <xdr:nvGrpSpPr>
        <xdr:cNvPr id="2" name="קבוצה 1">
          <a:extLst>
            <a:ext uri="{FF2B5EF4-FFF2-40B4-BE49-F238E27FC236}">
              <a16:creationId xmlns:a16="http://schemas.microsoft.com/office/drawing/2014/main" id="{AA98A2DE-D505-4B56-B308-D19A41EF6A88}"/>
            </a:ext>
          </a:extLst>
        </xdr:cNvPr>
        <xdr:cNvGrpSpPr/>
      </xdr:nvGrpSpPr>
      <xdr:grpSpPr>
        <a:xfrm>
          <a:off x="11239420098" y="778119"/>
          <a:ext cx="3170696" cy="4481015"/>
          <a:chOff x="11239420098" y="682869"/>
          <a:chExt cx="3170696" cy="4071440"/>
        </a:xfrm>
        <a:solidFill>
          <a:schemeClr val="accent5">
            <a:lumMod val="40000"/>
            <a:lumOff val="60000"/>
          </a:schemeClr>
        </a:solidFill>
      </xdr:grpSpPr>
      <xdr:sp macro="" textlink="">
        <xdr:nvSpPr>
          <xdr:cNvPr id="32" name="מלבן: פינות מעוגלות 31">
            <a:hlinkClick xmlns:r="http://schemas.openxmlformats.org/officeDocument/2006/relationships" r:id="rId1"/>
            <a:extLst>
              <a:ext uri="{FF2B5EF4-FFF2-40B4-BE49-F238E27FC236}">
                <a16:creationId xmlns:a16="http://schemas.microsoft.com/office/drawing/2014/main" id="{F1CA776F-1C4D-4976-A1C0-D26B8C187F9B}"/>
              </a:ext>
            </a:extLst>
          </xdr:cNvPr>
          <xdr:cNvSpPr/>
        </xdr:nvSpPr>
        <xdr:spPr>
          <a:xfrm>
            <a:off x="11239420098" y="998156"/>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2. הסכמה </a:t>
            </a:r>
          </a:p>
        </xdr:txBody>
      </xdr:sp>
      <xdr:sp macro="" textlink="">
        <xdr:nvSpPr>
          <xdr:cNvPr id="33" name="מלבן: פינות מעוגלות 32">
            <a:hlinkClick xmlns:r="http://schemas.openxmlformats.org/officeDocument/2006/relationships" r:id="rId2"/>
            <a:extLst>
              <a:ext uri="{FF2B5EF4-FFF2-40B4-BE49-F238E27FC236}">
                <a16:creationId xmlns:a16="http://schemas.microsoft.com/office/drawing/2014/main" id="{3BF723C1-7D49-4E24-9527-22B7352AB57A}"/>
              </a:ext>
            </a:extLst>
          </xdr:cNvPr>
          <xdr:cNvSpPr/>
        </xdr:nvSpPr>
        <xdr:spPr>
          <a:xfrm>
            <a:off x="11239420098" y="1313443"/>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05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2.1 סוגיות נוספות לבחינה בהתאם להמלצות הרשות</a:t>
            </a:r>
          </a:p>
        </xdr:txBody>
      </xdr:sp>
      <xdr:sp macro="" textlink="">
        <xdr:nvSpPr>
          <xdr:cNvPr id="34" name="מלבן: פינות מעוגלות 33">
            <a:hlinkClick xmlns:r="http://schemas.openxmlformats.org/officeDocument/2006/relationships" r:id="rId3"/>
            <a:extLst>
              <a:ext uri="{FF2B5EF4-FFF2-40B4-BE49-F238E27FC236}">
                <a16:creationId xmlns:a16="http://schemas.microsoft.com/office/drawing/2014/main" id="{C91BCA5B-FBDF-45D5-B421-201D09B51D1E}"/>
              </a:ext>
            </a:extLst>
          </xdr:cNvPr>
          <xdr:cNvSpPr/>
        </xdr:nvSpPr>
        <xdr:spPr>
          <a:xfrm>
            <a:off x="11239420098" y="1628730"/>
            <a:ext cx="3170696" cy="288000"/>
          </a:xfrm>
          <a:prstGeom prst="roundRect">
            <a:avLst/>
          </a:prstGeom>
          <a:grpFill/>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3. עיבוד, צמידות מטרה וצמצום מידע</a:t>
            </a:r>
          </a:p>
        </xdr:txBody>
      </xdr:sp>
      <xdr:sp macro="" textlink="">
        <xdr:nvSpPr>
          <xdr:cNvPr id="35" name="מלבן: פינות מעוגלות 34">
            <a:extLst>
              <a:ext uri="{FF2B5EF4-FFF2-40B4-BE49-F238E27FC236}">
                <a16:creationId xmlns:a16="http://schemas.microsoft.com/office/drawing/2014/main" id="{5A8BB968-262E-490D-B7BC-38217D610256}"/>
              </a:ext>
            </a:extLst>
          </xdr:cNvPr>
          <xdr:cNvSpPr/>
        </xdr:nvSpPr>
        <xdr:spPr>
          <a:xfrm>
            <a:off x="11239420098" y="1944017"/>
            <a:ext cx="3170696" cy="288000"/>
          </a:xfrm>
          <a:prstGeom prst="roundRect">
            <a:avLst/>
          </a:prstGeom>
          <a:grpFill/>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4. אבטחת מידע (אנחנו כאן)</a:t>
            </a:r>
          </a:p>
        </xdr:txBody>
      </xdr:sp>
      <xdr:sp macro="" textlink="">
        <xdr:nvSpPr>
          <xdr:cNvPr id="36" name="מלבן: פינות מעוגלות 35">
            <a:hlinkClick xmlns:r="http://schemas.openxmlformats.org/officeDocument/2006/relationships" r:id="rId4"/>
            <a:extLst>
              <a:ext uri="{FF2B5EF4-FFF2-40B4-BE49-F238E27FC236}">
                <a16:creationId xmlns:a16="http://schemas.microsoft.com/office/drawing/2014/main" id="{0C5645EF-70BA-4F35-933C-EBF3BD31AB6B}"/>
              </a:ext>
            </a:extLst>
          </xdr:cNvPr>
          <xdr:cNvSpPr/>
        </xdr:nvSpPr>
        <xdr:spPr>
          <a:xfrm>
            <a:off x="11239420098" y="2259304"/>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05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4.1 סעיפי חובה במסמך הגדרות מאגר</a:t>
            </a:r>
          </a:p>
        </xdr:txBody>
      </xdr:sp>
      <xdr:sp macro="" textlink="">
        <xdr:nvSpPr>
          <xdr:cNvPr id="37" name="מלבן: פינות מעוגלות 36">
            <a:hlinkClick xmlns:r="http://schemas.openxmlformats.org/officeDocument/2006/relationships" r:id="rId5"/>
            <a:extLst>
              <a:ext uri="{FF2B5EF4-FFF2-40B4-BE49-F238E27FC236}">
                <a16:creationId xmlns:a16="http://schemas.microsoft.com/office/drawing/2014/main" id="{EE0712B2-EF6F-4B0C-9C13-B7657562FE9D}"/>
              </a:ext>
            </a:extLst>
          </xdr:cNvPr>
          <xdr:cNvSpPr/>
        </xdr:nvSpPr>
        <xdr:spPr>
          <a:xfrm>
            <a:off x="11239420098" y="2574591"/>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5. בקרה שוטפת</a:t>
            </a:r>
          </a:p>
        </xdr:txBody>
      </xdr:sp>
      <xdr:sp macro="" textlink="">
        <xdr:nvSpPr>
          <xdr:cNvPr id="38" name="מלבן: פינות מעוגלות 37">
            <a:hlinkClick xmlns:r="http://schemas.openxmlformats.org/officeDocument/2006/relationships" r:id="rId6"/>
            <a:extLst>
              <a:ext uri="{FF2B5EF4-FFF2-40B4-BE49-F238E27FC236}">
                <a16:creationId xmlns:a16="http://schemas.microsoft.com/office/drawing/2014/main" id="{62550858-916D-4793-8477-1FF56F7898AD}"/>
              </a:ext>
            </a:extLst>
          </xdr:cNvPr>
          <xdr:cNvSpPr/>
        </xdr:nvSpPr>
        <xdr:spPr>
          <a:xfrm>
            <a:off x="11239420098" y="2889878"/>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05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5.1 תיקון ליקויים</a:t>
            </a:r>
          </a:p>
        </xdr:txBody>
      </xdr:sp>
      <xdr:sp macro="" textlink="">
        <xdr:nvSpPr>
          <xdr:cNvPr id="39" name="מלבן: פינות מעוגלות 38">
            <a:hlinkClick xmlns:r="http://schemas.openxmlformats.org/officeDocument/2006/relationships" r:id="rId7"/>
            <a:extLst>
              <a:ext uri="{FF2B5EF4-FFF2-40B4-BE49-F238E27FC236}">
                <a16:creationId xmlns:a16="http://schemas.microsoft.com/office/drawing/2014/main" id="{14FFA0E1-F51C-48D5-A18D-D155695D3A31}"/>
              </a:ext>
            </a:extLst>
          </xdr:cNvPr>
          <xdr:cNvSpPr/>
        </xdr:nvSpPr>
        <xdr:spPr>
          <a:xfrm>
            <a:off x="11239420098" y="3205165"/>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6. רישום והודעה על מאגרי מידע</a:t>
            </a:r>
          </a:p>
        </xdr:txBody>
      </xdr:sp>
      <xdr:sp macro="" textlink="">
        <xdr:nvSpPr>
          <xdr:cNvPr id="40" name="מלבן: פינות מעוגלות 39">
            <a:hlinkClick xmlns:r="http://schemas.openxmlformats.org/officeDocument/2006/relationships" r:id="rId8"/>
            <a:extLst>
              <a:ext uri="{FF2B5EF4-FFF2-40B4-BE49-F238E27FC236}">
                <a16:creationId xmlns:a16="http://schemas.microsoft.com/office/drawing/2014/main" id="{1426E3A2-15F0-4AD1-9020-2283830CEE07}"/>
              </a:ext>
            </a:extLst>
          </xdr:cNvPr>
          <xdr:cNvSpPr/>
        </xdr:nvSpPr>
        <xdr:spPr>
          <a:xfrm>
            <a:off x="11239420098" y="3520452"/>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7. דיוור ישיר</a:t>
            </a:r>
          </a:p>
        </xdr:txBody>
      </xdr:sp>
      <xdr:sp macro="" textlink="">
        <xdr:nvSpPr>
          <xdr:cNvPr id="41" name="מלבן: פינות מעוגלות 40">
            <a:hlinkClick xmlns:r="http://schemas.openxmlformats.org/officeDocument/2006/relationships" r:id="rId9"/>
            <a:extLst>
              <a:ext uri="{FF2B5EF4-FFF2-40B4-BE49-F238E27FC236}">
                <a16:creationId xmlns:a16="http://schemas.microsoft.com/office/drawing/2014/main" id="{C977F0A9-160C-4E9F-824D-16A15185F251}"/>
              </a:ext>
            </a:extLst>
          </xdr:cNvPr>
          <xdr:cNvSpPr/>
        </xdr:nvSpPr>
        <xdr:spPr>
          <a:xfrm>
            <a:off x="11239420098" y="3835739"/>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8. הדרכת עובדים</a:t>
            </a:r>
          </a:p>
        </xdr:txBody>
      </xdr:sp>
      <xdr:sp macro="" textlink="">
        <xdr:nvSpPr>
          <xdr:cNvPr id="42" name="מלבן: פינות מעוגלות 41">
            <a:hlinkClick xmlns:r="http://schemas.openxmlformats.org/officeDocument/2006/relationships" r:id="rId10"/>
            <a:extLst>
              <a:ext uri="{FF2B5EF4-FFF2-40B4-BE49-F238E27FC236}">
                <a16:creationId xmlns:a16="http://schemas.microsoft.com/office/drawing/2014/main" id="{7D077858-A0B0-47AA-8E36-D122B3F95BAD}"/>
              </a:ext>
            </a:extLst>
          </xdr:cNvPr>
          <xdr:cNvSpPr/>
        </xdr:nvSpPr>
        <xdr:spPr>
          <a:xfrm>
            <a:off x="11239420098" y="4151026"/>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9. טיפול בפניות</a:t>
            </a:r>
          </a:p>
        </xdr:txBody>
      </xdr:sp>
      <xdr:sp macro="" textlink="">
        <xdr:nvSpPr>
          <xdr:cNvPr id="43" name="מלבן: פינות מעוגלות 42">
            <a:hlinkClick xmlns:r="http://schemas.openxmlformats.org/officeDocument/2006/relationships" r:id="rId11"/>
            <a:extLst>
              <a:ext uri="{FF2B5EF4-FFF2-40B4-BE49-F238E27FC236}">
                <a16:creationId xmlns:a16="http://schemas.microsoft.com/office/drawing/2014/main" id="{5D090E19-D5E1-4D9F-AB52-2D02B66DFA05}"/>
              </a:ext>
            </a:extLst>
          </xdr:cNvPr>
          <xdr:cNvSpPr/>
        </xdr:nvSpPr>
        <xdr:spPr>
          <a:xfrm>
            <a:off x="11239420098" y="4466309"/>
            <a:ext cx="3170696" cy="288000"/>
          </a:xfrm>
          <a:prstGeom prst="roundRect">
            <a:avLst/>
          </a:prstGeom>
          <a:grpFill/>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r" rtl="1"/>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10.</a:t>
            </a:r>
            <a:r>
              <a:rPr lang="he-IL" sz="1200" b="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r>
              <a:rPr lang="he-IL"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אחריות דירקטוריון</a:t>
            </a:r>
          </a:p>
        </xdr:txBody>
      </xdr:sp>
      <xdr:sp macro="" textlink="">
        <xdr:nvSpPr>
          <xdr:cNvPr id="44" name="מלבן: פינות מעוגלות 43">
            <a:hlinkClick xmlns:r="http://schemas.openxmlformats.org/officeDocument/2006/relationships" r:id="rId12"/>
            <a:extLst>
              <a:ext uri="{FF2B5EF4-FFF2-40B4-BE49-F238E27FC236}">
                <a16:creationId xmlns:a16="http://schemas.microsoft.com/office/drawing/2014/main" id="{0F7F9343-AFD3-48CA-8F1F-92FA124E182B}"/>
              </a:ext>
            </a:extLst>
          </xdr:cNvPr>
          <xdr:cNvSpPr/>
        </xdr:nvSpPr>
        <xdr:spPr>
          <a:xfrm>
            <a:off x="11239420098" y="682869"/>
            <a:ext cx="3170696" cy="288000"/>
          </a:xfrm>
          <a:prstGeom prst="roundRect">
            <a:avLst/>
          </a:prstGeom>
          <a:grpFill/>
          <a:ln w="3175">
            <a:noFill/>
          </a:ln>
          <a:effectLst>
            <a:outerShdw blurRad="50800" dist="38100" dir="2700000" algn="tl" rotWithShape="0">
              <a:prstClr val="black">
                <a:alpha val="40000"/>
              </a:prstClr>
            </a:outerShdw>
          </a:effectLst>
          <a:scene3d>
            <a:camera prst="orthographicFront"/>
            <a:lightRig rig="threePt" dir="t"/>
          </a:scene3d>
          <a:sp3d>
            <a:bevelT/>
            <a:bevelB/>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sp3d/>
          </a:bodyPr>
          <a:lstStyle/>
          <a:p>
            <a:pPr algn="r" rtl="1"/>
            <a:r>
              <a:rPr lang="he-IL" sz="1200" b="0" i="0">
                <a:ln>
                  <a:noFill/>
                </a:ln>
                <a:solidFill>
                  <a:sysClr val="windowText" lastClr="000000"/>
                </a:solidFill>
                <a:effectLst>
                  <a:outerShdw blurRad="63500" sx="102000" sy="102000" algn="ctr"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rPr>
              <a:t>1. יידוע נושאי מידע</a:t>
            </a:r>
          </a:p>
        </xdr:txBody>
      </xdr:sp>
    </xdr:grpSp>
    <xdr:clientData/>
  </xdr:twoCellAnchor>
  <xdr:twoCellAnchor editAs="oneCell">
    <xdr:from>
      <xdr:col>1</xdr:col>
      <xdr:colOff>47625</xdr:colOff>
      <xdr:row>0</xdr:row>
      <xdr:rowOff>171450</xdr:rowOff>
    </xdr:from>
    <xdr:to>
      <xdr:col>1</xdr:col>
      <xdr:colOff>482075</xdr:colOff>
      <xdr:row>2</xdr:row>
      <xdr:rowOff>20325</xdr:rowOff>
    </xdr:to>
    <xdr:pic>
      <xdr:nvPicPr>
        <xdr:cNvPr id="16" name="תמונה 15">
          <a:hlinkClick xmlns:r="http://schemas.openxmlformats.org/officeDocument/2006/relationships" r:id="rId13"/>
          <a:extLst>
            <a:ext uri="{FF2B5EF4-FFF2-40B4-BE49-F238E27FC236}">
              <a16:creationId xmlns:a16="http://schemas.microsoft.com/office/drawing/2014/main" id="{6B3BBCAB-F9FD-4CCC-BF34-22DFEF298D2E}"/>
            </a:ext>
          </a:extLst>
        </xdr:cNvPr>
        <xdr:cNvPicPr>
          <a:picLocks noChangeAspect="1" noChangeArrowheads="1"/>
        </xdr:cNvPicPr>
      </xdr:nvPicPr>
      <xdr:blipFill>
        <a:blip xmlns:r="http://schemas.openxmlformats.org/officeDocument/2006/relationships" r:embed="rId14" cstate="print">
          <a:duotone>
            <a:prstClr val="black"/>
            <a:srgbClr val="5B9BD5">
              <a:tint val="45000"/>
              <a:satMod val="400000"/>
            </a:srgbClr>
          </a:duotone>
          <a:extLst>
            <a:ext uri="{28A0092B-C50C-407E-A947-70E740481C1C}">
              <a14:useLocalDpi xmlns:a14="http://schemas.microsoft.com/office/drawing/2010/main" val="0"/>
            </a:ext>
          </a:extLst>
        </a:blip>
        <a:srcRect/>
        <a:stretch>
          <a:fillRect/>
        </a:stretch>
      </xdr:blipFill>
      <xdr:spPr bwMode="auto">
        <a:xfrm>
          <a:off x="11242132600" y="171450"/>
          <a:ext cx="434450" cy="44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60572</xdr:colOff>
      <xdr:row>2</xdr:row>
      <xdr:rowOff>169019</xdr:rowOff>
    </xdr:from>
    <xdr:to>
      <xdr:col>4</xdr:col>
      <xdr:colOff>799697</xdr:colOff>
      <xdr:row>20</xdr:row>
      <xdr:rowOff>63129</xdr:rowOff>
    </xdr:to>
    <xdr:grpSp>
      <xdr:nvGrpSpPr>
        <xdr:cNvPr id="2" name="קבוצה 1">
          <a:extLst>
            <a:ext uri="{FF2B5EF4-FFF2-40B4-BE49-F238E27FC236}">
              <a16:creationId xmlns:a16="http://schemas.microsoft.com/office/drawing/2014/main" id="{717FABEC-C69C-49BA-BF96-C60650394DB9}"/>
            </a:ext>
          </a:extLst>
        </xdr:cNvPr>
        <xdr:cNvGrpSpPr/>
      </xdr:nvGrpSpPr>
      <xdr:grpSpPr>
        <a:xfrm>
          <a:off x="11237862103" y="769094"/>
          <a:ext cx="3168000" cy="4494685"/>
          <a:chOff x="11237862103" y="673844"/>
          <a:chExt cx="3168000" cy="4085110"/>
        </a:xfrm>
        <a:solidFill>
          <a:schemeClr val="accent5">
            <a:lumMod val="40000"/>
            <a:lumOff val="60000"/>
          </a:schemeClr>
        </a:solidFill>
      </xdr:grpSpPr>
      <xdr:sp macro="" textlink="">
        <xdr:nvSpPr>
          <xdr:cNvPr id="72" name="מלבן: פינות מעוגלות 71">
            <a:hlinkClick xmlns:r="http://schemas.openxmlformats.org/officeDocument/2006/relationships" r:id="rId1"/>
            <a:extLst>
              <a:ext uri="{FF2B5EF4-FFF2-40B4-BE49-F238E27FC236}">
                <a16:creationId xmlns:a16="http://schemas.microsoft.com/office/drawing/2014/main" id="{1223D18C-2A48-4A58-AB55-2B2D2647723A}"/>
              </a:ext>
            </a:extLst>
          </xdr:cNvPr>
          <xdr:cNvSpPr/>
        </xdr:nvSpPr>
        <xdr:spPr>
          <a:xfrm>
            <a:off x="11237862103" y="990270"/>
            <a:ext cx="3168000"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2. הסכמה </a:t>
            </a:r>
          </a:p>
        </xdr:txBody>
      </xdr:sp>
      <xdr:sp macro="" textlink="">
        <xdr:nvSpPr>
          <xdr:cNvPr id="73" name="מלבן: פינות מעוגלות 72">
            <a:hlinkClick xmlns:r="http://schemas.openxmlformats.org/officeDocument/2006/relationships" r:id="rId2"/>
            <a:extLst>
              <a:ext uri="{FF2B5EF4-FFF2-40B4-BE49-F238E27FC236}">
                <a16:creationId xmlns:a16="http://schemas.microsoft.com/office/drawing/2014/main" id="{596E230B-61CC-4743-87B4-A52637B2DC9E}"/>
              </a:ext>
            </a:extLst>
          </xdr:cNvPr>
          <xdr:cNvSpPr/>
        </xdr:nvSpPr>
        <xdr:spPr>
          <a:xfrm>
            <a:off x="11237862103" y="1306696"/>
            <a:ext cx="3168000"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2.1 סוגיות נוספות לבחינה בהתאם להמלצות הרשות</a:t>
            </a:r>
          </a:p>
        </xdr:txBody>
      </xdr:sp>
      <xdr:sp macro="" textlink="">
        <xdr:nvSpPr>
          <xdr:cNvPr id="74" name="מלבן: פינות מעוגלות 73">
            <a:hlinkClick xmlns:r="http://schemas.openxmlformats.org/officeDocument/2006/relationships" r:id="rId3"/>
            <a:extLst>
              <a:ext uri="{FF2B5EF4-FFF2-40B4-BE49-F238E27FC236}">
                <a16:creationId xmlns:a16="http://schemas.microsoft.com/office/drawing/2014/main" id="{77224F53-A295-4B9B-A1A0-49D93771111B}"/>
              </a:ext>
            </a:extLst>
          </xdr:cNvPr>
          <xdr:cNvSpPr/>
        </xdr:nvSpPr>
        <xdr:spPr>
          <a:xfrm>
            <a:off x="11237862103" y="1623122"/>
            <a:ext cx="3168000" cy="288000"/>
          </a:xfrm>
          <a:prstGeom prst="roundRect">
            <a:avLst/>
          </a:prstGeom>
          <a:grpFill/>
          <a:ln w="12700" cap="flat" cmpd="sng" algn="ctr">
            <a:solidFill>
              <a:srgbClr val="4472C4">
                <a:shade val="50000"/>
              </a:srgbClr>
            </a:solidFill>
            <a:prstDash val="solid"/>
            <a:miter lim="800000"/>
          </a:ln>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3. עיבוד, צמידות מטרה וצמצום מידע</a:t>
            </a:r>
          </a:p>
        </xdr:txBody>
      </xdr:sp>
      <xdr:sp macro="" textlink="">
        <xdr:nvSpPr>
          <xdr:cNvPr id="75" name="מלבן: פינות מעוגלות 74">
            <a:hlinkClick xmlns:r="http://schemas.openxmlformats.org/officeDocument/2006/relationships" r:id="rId4"/>
            <a:extLst>
              <a:ext uri="{FF2B5EF4-FFF2-40B4-BE49-F238E27FC236}">
                <a16:creationId xmlns:a16="http://schemas.microsoft.com/office/drawing/2014/main" id="{1C3DAE29-4A67-4FC9-B8EB-D69C8E83E227}"/>
              </a:ext>
            </a:extLst>
          </xdr:cNvPr>
          <xdr:cNvSpPr/>
        </xdr:nvSpPr>
        <xdr:spPr>
          <a:xfrm>
            <a:off x="11237862103" y="1939548"/>
            <a:ext cx="3168000" cy="288000"/>
          </a:xfrm>
          <a:prstGeom prst="roundRect">
            <a:avLst/>
          </a:prstGeom>
          <a:grpFill/>
          <a:ln w="12700" cap="flat" cmpd="sng" algn="ctr">
            <a:solidFill>
              <a:srgbClr val="4472C4">
                <a:shade val="50000"/>
              </a:srgbClr>
            </a:solidFill>
            <a:prstDash val="solid"/>
            <a:miter lim="800000"/>
          </a:ln>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4. אבטחת מידע</a:t>
            </a:r>
          </a:p>
        </xdr:txBody>
      </xdr:sp>
      <xdr:sp macro="" textlink="">
        <xdr:nvSpPr>
          <xdr:cNvPr id="76" name="מלבן: פינות מעוגלות 75">
            <a:extLst>
              <a:ext uri="{FF2B5EF4-FFF2-40B4-BE49-F238E27FC236}">
                <a16:creationId xmlns:a16="http://schemas.microsoft.com/office/drawing/2014/main" id="{376AE6FC-D372-472D-B1B1-100B5AC94E75}"/>
              </a:ext>
            </a:extLst>
          </xdr:cNvPr>
          <xdr:cNvSpPr/>
        </xdr:nvSpPr>
        <xdr:spPr>
          <a:xfrm>
            <a:off x="11237862103" y="2255974"/>
            <a:ext cx="3168000"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1"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4.1 סעיפי חובה במסמך הגדרות מאגר (אנחנו כאן)</a:t>
            </a:r>
          </a:p>
        </xdr:txBody>
      </xdr:sp>
      <xdr:sp macro="" textlink="">
        <xdr:nvSpPr>
          <xdr:cNvPr id="77" name="מלבן: פינות מעוגלות 76">
            <a:hlinkClick xmlns:r="http://schemas.openxmlformats.org/officeDocument/2006/relationships" r:id="rId5"/>
            <a:extLst>
              <a:ext uri="{FF2B5EF4-FFF2-40B4-BE49-F238E27FC236}">
                <a16:creationId xmlns:a16="http://schemas.microsoft.com/office/drawing/2014/main" id="{3CEB4134-762F-484A-B380-65FA03008E60}"/>
              </a:ext>
            </a:extLst>
          </xdr:cNvPr>
          <xdr:cNvSpPr/>
        </xdr:nvSpPr>
        <xdr:spPr>
          <a:xfrm>
            <a:off x="11237862103" y="2572400"/>
            <a:ext cx="3168000"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5. בקרה שוטפת</a:t>
            </a:r>
          </a:p>
        </xdr:txBody>
      </xdr:sp>
      <xdr:sp macro="" textlink="">
        <xdr:nvSpPr>
          <xdr:cNvPr id="78" name="מלבן: פינות מעוגלות 77">
            <a:hlinkClick xmlns:r="http://schemas.openxmlformats.org/officeDocument/2006/relationships" r:id="rId6"/>
            <a:extLst>
              <a:ext uri="{FF2B5EF4-FFF2-40B4-BE49-F238E27FC236}">
                <a16:creationId xmlns:a16="http://schemas.microsoft.com/office/drawing/2014/main" id="{912093D5-16F5-4FDF-9077-449FEB18268F}"/>
              </a:ext>
            </a:extLst>
          </xdr:cNvPr>
          <xdr:cNvSpPr/>
        </xdr:nvSpPr>
        <xdr:spPr>
          <a:xfrm>
            <a:off x="11237862103" y="2888826"/>
            <a:ext cx="3168000"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5.1 תיקון ליקויים</a:t>
            </a:r>
          </a:p>
        </xdr:txBody>
      </xdr:sp>
      <xdr:sp macro="" textlink="">
        <xdr:nvSpPr>
          <xdr:cNvPr id="79" name="מלבן: פינות מעוגלות 78">
            <a:hlinkClick xmlns:r="http://schemas.openxmlformats.org/officeDocument/2006/relationships" r:id="rId7"/>
            <a:extLst>
              <a:ext uri="{FF2B5EF4-FFF2-40B4-BE49-F238E27FC236}">
                <a16:creationId xmlns:a16="http://schemas.microsoft.com/office/drawing/2014/main" id="{4F81EC53-9CCA-4A6E-BAED-67E8E80071E5}"/>
              </a:ext>
            </a:extLst>
          </xdr:cNvPr>
          <xdr:cNvSpPr/>
        </xdr:nvSpPr>
        <xdr:spPr>
          <a:xfrm>
            <a:off x="11237862103" y="3205252"/>
            <a:ext cx="3168000"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6. רישום והודעה על מאגרי מידע</a:t>
            </a:r>
          </a:p>
        </xdr:txBody>
      </xdr:sp>
      <xdr:sp macro="" textlink="">
        <xdr:nvSpPr>
          <xdr:cNvPr id="80" name="מלבן: פינות מעוגלות 79">
            <a:hlinkClick xmlns:r="http://schemas.openxmlformats.org/officeDocument/2006/relationships" r:id="rId8"/>
            <a:extLst>
              <a:ext uri="{FF2B5EF4-FFF2-40B4-BE49-F238E27FC236}">
                <a16:creationId xmlns:a16="http://schemas.microsoft.com/office/drawing/2014/main" id="{6FEDE740-29F4-4E29-A08D-D7EC932A6493}"/>
              </a:ext>
            </a:extLst>
          </xdr:cNvPr>
          <xdr:cNvSpPr/>
        </xdr:nvSpPr>
        <xdr:spPr>
          <a:xfrm>
            <a:off x="11237862103" y="3521678"/>
            <a:ext cx="3168000"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7. דיוור ישיר</a:t>
            </a:r>
          </a:p>
        </xdr:txBody>
      </xdr:sp>
      <xdr:sp macro="" textlink="">
        <xdr:nvSpPr>
          <xdr:cNvPr id="81" name="מלבן: פינות מעוגלות 80">
            <a:hlinkClick xmlns:r="http://schemas.openxmlformats.org/officeDocument/2006/relationships" r:id="rId9"/>
            <a:extLst>
              <a:ext uri="{FF2B5EF4-FFF2-40B4-BE49-F238E27FC236}">
                <a16:creationId xmlns:a16="http://schemas.microsoft.com/office/drawing/2014/main" id="{91BC854C-C9EF-4475-9A8D-C293F3694C6D}"/>
              </a:ext>
            </a:extLst>
          </xdr:cNvPr>
          <xdr:cNvSpPr/>
        </xdr:nvSpPr>
        <xdr:spPr>
          <a:xfrm>
            <a:off x="11237862103" y="3838104"/>
            <a:ext cx="3168000"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8. הדרכת עובדים</a:t>
            </a:r>
          </a:p>
        </xdr:txBody>
      </xdr:sp>
      <xdr:sp macro="" textlink="">
        <xdr:nvSpPr>
          <xdr:cNvPr id="82" name="מלבן: פינות מעוגלות 81">
            <a:hlinkClick xmlns:r="http://schemas.openxmlformats.org/officeDocument/2006/relationships" r:id="rId10"/>
            <a:extLst>
              <a:ext uri="{FF2B5EF4-FFF2-40B4-BE49-F238E27FC236}">
                <a16:creationId xmlns:a16="http://schemas.microsoft.com/office/drawing/2014/main" id="{222369A1-01EE-4D7E-9B4D-DE12EFA51C92}"/>
              </a:ext>
            </a:extLst>
          </xdr:cNvPr>
          <xdr:cNvSpPr/>
        </xdr:nvSpPr>
        <xdr:spPr>
          <a:xfrm>
            <a:off x="11237862103" y="4154530"/>
            <a:ext cx="3168000"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9. טיפול בפניות</a:t>
            </a:r>
          </a:p>
        </xdr:txBody>
      </xdr:sp>
      <xdr:sp macro="" textlink="">
        <xdr:nvSpPr>
          <xdr:cNvPr id="83" name="מלבן: פינות מעוגלות 82">
            <a:hlinkClick xmlns:r="http://schemas.openxmlformats.org/officeDocument/2006/relationships" r:id="rId11"/>
            <a:extLst>
              <a:ext uri="{FF2B5EF4-FFF2-40B4-BE49-F238E27FC236}">
                <a16:creationId xmlns:a16="http://schemas.microsoft.com/office/drawing/2014/main" id="{BD4FA397-3031-4F50-972E-E340611C7876}"/>
              </a:ext>
            </a:extLst>
          </xdr:cNvPr>
          <xdr:cNvSpPr/>
        </xdr:nvSpPr>
        <xdr:spPr>
          <a:xfrm>
            <a:off x="11237862103" y="4470954"/>
            <a:ext cx="3168000"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10. אחריות דירקטוריון</a:t>
            </a:r>
          </a:p>
        </xdr:txBody>
      </xdr:sp>
      <xdr:sp macro="" textlink="">
        <xdr:nvSpPr>
          <xdr:cNvPr id="84" name="מלבן: פינות מעוגלות 83">
            <a:hlinkClick xmlns:r="http://schemas.openxmlformats.org/officeDocument/2006/relationships" r:id="rId12"/>
            <a:extLst>
              <a:ext uri="{FF2B5EF4-FFF2-40B4-BE49-F238E27FC236}">
                <a16:creationId xmlns:a16="http://schemas.microsoft.com/office/drawing/2014/main" id="{60E84037-F128-424A-8E13-1DE3A60CF6D0}"/>
              </a:ext>
            </a:extLst>
          </xdr:cNvPr>
          <xdr:cNvSpPr/>
        </xdr:nvSpPr>
        <xdr:spPr>
          <a:xfrm>
            <a:off x="11237862103" y="673844"/>
            <a:ext cx="3168000" cy="288000"/>
          </a:xfrm>
          <a:prstGeom prst="roundRect">
            <a:avLst/>
          </a:prstGeom>
          <a:grpFill/>
          <a:ln w="3175" cap="flat" cmpd="sng" algn="ctr">
            <a:no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sp3d/>
          </a:bodyP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outerShdw blurRad="63500" sx="102000" sy="102000" algn="ctr" rotWithShape="0">
                    <a:prstClr val="black">
                      <a:alpha val="40000"/>
                    </a:prstClr>
                  </a:outerShdw>
                </a:effectLst>
                <a:uLnTx/>
                <a:uFillTx/>
                <a:latin typeface="Calibri" panose="020F0502020204030204" pitchFamily="34" charset="0"/>
                <a:ea typeface="Calibri" panose="020F0502020204030204" pitchFamily="34" charset="0"/>
                <a:cs typeface="Calibri" panose="020F0502020204030204" pitchFamily="34" charset="0"/>
              </a:rPr>
              <a:t>1. יידוע נושאי מידע</a:t>
            </a:r>
          </a:p>
        </xdr:txBody>
      </xdr:sp>
    </xdr:grpSp>
    <xdr:clientData/>
  </xdr:twoCellAnchor>
  <xdr:twoCellAnchor editAs="oneCell">
    <xdr:from>
      <xdr:col>1</xdr:col>
      <xdr:colOff>114300</xdr:colOff>
      <xdr:row>0</xdr:row>
      <xdr:rowOff>171450</xdr:rowOff>
    </xdr:from>
    <xdr:to>
      <xdr:col>1</xdr:col>
      <xdr:colOff>548750</xdr:colOff>
      <xdr:row>2</xdr:row>
      <xdr:rowOff>20325</xdr:rowOff>
    </xdr:to>
    <xdr:pic>
      <xdr:nvPicPr>
        <xdr:cNvPr id="16" name="תמונה 15">
          <a:hlinkClick xmlns:r="http://schemas.openxmlformats.org/officeDocument/2006/relationships" r:id="rId13"/>
          <a:extLst>
            <a:ext uri="{FF2B5EF4-FFF2-40B4-BE49-F238E27FC236}">
              <a16:creationId xmlns:a16="http://schemas.microsoft.com/office/drawing/2014/main" id="{1FAA8ED2-FBC1-4615-804F-94B24A9ECA93}"/>
            </a:ext>
          </a:extLst>
        </xdr:cNvPr>
        <xdr:cNvPicPr>
          <a:picLocks noChangeAspect="1" noChangeArrowheads="1"/>
        </xdr:cNvPicPr>
      </xdr:nvPicPr>
      <xdr:blipFill>
        <a:blip xmlns:r="http://schemas.openxmlformats.org/officeDocument/2006/relationships" r:embed="rId14" cstate="print">
          <a:duotone>
            <a:prstClr val="black"/>
            <a:srgbClr val="5B9BD5">
              <a:tint val="45000"/>
              <a:satMod val="400000"/>
            </a:srgbClr>
          </a:duotone>
          <a:extLst>
            <a:ext uri="{28A0092B-C50C-407E-A947-70E740481C1C}">
              <a14:useLocalDpi xmlns:a14="http://schemas.microsoft.com/office/drawing/2010/main" val="0"/>
            </a:ext>
          </a:extLst>
        </a:blip>
        <a:srcRect/>
        <a:stretch>
          <a:fillRect/>
        </a:stretch>
      </xdr:blipFill>
      <xdr:spPr bwMode="auto">
        <a:xfrm>
          <a:off x="11240541925" y="171450"/>
          <a:ext cx="434450" cy="44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42863</xdr:colOff>
      <xdr:row>2</xdr:row>
      <xdr:rowOff>178044</xdr:rowOff>
    </xdr:from>
    <xdr:to>
      <xdr:col>4</xdr:col>
      <xdr:colOff>784684</xdr:colOff>
      <xdr:row>24</xdr:row>
      <xdr:rowOff>68009</xdr:rowOff>
    </xdr:to>
    <xdr:grpSp>
      <xdr:nvGrpSpPr>
        <xdr:cNvPr id="2" name="קבוצה 1">
          <a:extLst>
            <a:ext uri="{FF2B5EF4-FFF2-40B4-BE49-F238E27FC236}">
              <a16:creationId xmlns:a16="http://schemas.microsoft.com/office/drawing/2014/main" id="{FA54FADF-92FA-4E13-B2E4-B2197A6AB080}"/>
            </a:ext>
          </a:extLst>
        </xdr:cNvPr>
        <xdr:cNvGrpSpPr/>
      </xdr:nvGrpSpPr>
      <xdr:grpSpPr>
        <a:xfrm>
          <a:off x="11238658166" y="778119"/>
          <a:ext cx="3170696" cy="4690565"/>
          <a:chOff x="11238658166" y="682869"/>
          <a:chExt cx="3170696" cy="4080965"/>
        </a:xfrm>
        <a:solidFill>
          <a:schemeClr val="accent5">
            <a:lumMod val="40000"/>
            <a:lumOff val="60000"/>
          </a:schemeClr>
        </a:solidFill>
      </xdr:grpSpPr>
      <xdr:sp macro="" textlink="">
        <xdr:nvSpPr>
          <xdr:cNvPr id="16" name="מלבן: פינות מעוגלות 15">
            <a:hlinkClick xmlns:r="http://schemas.openxmlformats.org/officeDocument/2006/relationships" r:id="rId1"/>
            <a:extLst>
              <a:ext uri="{FF2B5EF4-FFF2-40B4-BE49-F238E27FC236}">
                <a16:creationId xmlns:a16="http://schemas.microsoft.com/office/drawing/2014/main" id="{CC14A1C6-F54F-4419-A1E6-22AB20206BEC}"/>
              </a:ext>
            </a:extLst>
          </xdr:cNvPr>
          <xdr:cNvSpPr/>
        </xdr:nvSpPr>
        <xdr:spPr>
          <a:xfrm>
            <a:off x="11238658166" y="99894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2. הסכמה </a:t>
            </a:r>
          </a:p>
        </xdr:txBody>
      </xdr:sp>
      <xdr:sp macro="" textlink="">
        <xdr:nvSpPr>
          <xdr:cNvPr id="17" name="מלבן: פינות מעוגלות 16">
            <a:hlinkClick xmlns:r="http://schemas.openxmlformats.org/officeDocument/2006/relationships" r:id="rId2"/>
            <a:extLst>
              <a:ext uri="{FF2B5EF4-FFF2-40B4-BE49-F238E27FC236}">
                <a16:creationId xmlns:a16="http://schemas.microsoft.com/office/drawing/2014/main" id="{3DAF4E4E-7A87-4F46-B765-2B2F1EB4F747}"/>
              </a:ext>
            </a:extLst>
          </xdr:cNvPr>
          <xdr:cNvSpPr/>
        </xdr:nvSpPr>
        <xdr:spPr>
          <a:xfrm>
            <a:off x="11238658166" y="131502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2.1 סוגיות נוספות לבחינה בהתאם להמלצות הרשות</a:t>
            </a:r>
          </a:p>
        </xdr:txBody>
      </xdr:sp>
      <xdr:sp macro="" textlink="">
        <xdr:nvSpPr>
          <xdr:cNvPr id="18" name="מלבן: פינות מעוגלות 17">
            <a:hlinkClick xmlns:r="http://schemas.openxmlformats.org/officeDocument/2006/relationships" r:id="rId3"/>
            <a:extLst>
              <a:ext uri="{FF2B5EF4-FFF2-40B4-BE49-F238E27FC236}">
                <a16:creationId xmlns:a16="http://schemas.microsoft.com/office/drawing/2014/main" id="{7ADD07C1-D049-4AE1-BA6E-2703414F0524}"/>
              </a:ext>
            </a:extLst>
          </xdr:cNvPr>
          <xdr:cNvSpPr/>
        </xdr:nvSpPr>
        <xdr:spPr>
          <a:xfrm>
            <a:off x="11238658166" y="1631109"/>
            <a:ext cx="3170696" cy="288000"/>
          </a:xfrm>
          <a:prstGeom prst="roundRect">
            <a:avLst/>
          </a:prstGeom>
          <a:grpFill/>
          <a:ln w="12700" cap="flat" cmpd="sng" algn="ctr">
            <a:solidFill>
              <a:srgbClr val="4472C4">
                <a:shade val="50000"/>
              </a:srgbClr>
            </a:solidFill>
            <a:prstDash val="solid"/>
            <a:miter lim="800000"/>
          </a:ln>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3. עיבוד, צמידות מטרה וצמצום מידע</a:t>
            </a:r>
          </a:p>
        </xdr:txBody>
      </xdr:sp>
      <xdr:sp macro="" textlink="">
        <xdr:nvSpPr>
          <xdr:cNvPr id="19" name="מלבן: פינות מעוגלות 18">
            <a:hlinkClick xmlns:r="http://schemas.openxmlformats.org/officeDocument/2006/relationships" r:id="rId4"/>
            <a:extLst>
              <a:ext uri="{FF2B5EF4-FFF2-40B4-BE49-F238E27FC236}">
                <a16:creationId xmlns:a16="http://schemas.microsoft.com/office/drawing/2014/main" id="{E1F766BE-8DED-4A95-A173-602AF0CDE51C}"/>
              </a:ext>
            </a:extLst>
          </xdr:cNvPr>
          <xdr:cNvSpPr/>
        </xdr:nvSpPr>
        <xdr:spPr>
          <a:xfrm>
            <a:off x="11238658166" y="1947189"/>
            <a:ext cx="3170696" cy="288000"/>
          </a:xfrm>
          <a:prstGeom prst="roundRect">
            <a:avLst/>
          </a:prstGeom>
          <a:grpFill/>
          <a:ln w="12700" cap="flat" cmpd="sng" algn="ctr">
            <a:solidFill>
              <a:srgbClr val="4472C4">
                <a:shade val="50000"/>
              </a:srgbClr>
            </a:solidFill>
            <a:prstDash val="solid"/>
            <a:miter lim="800000"/>
          </a:ln>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4. אבטחת מידע</a:t>
            </a:r>
          </a:p>
        </xdr:txBody>
      </xdr:sp>
      <xdr:sp macro="" textlink="">
        <xdr:nvSpPr>
          <xdr:cNvPr id="20" name="מלבן: פינות מעוגלות 19">
            <a:hlinkClick xmlns:r="http://schemas.openxmlformats.org/officeDocument/2006/relationships" r:id="rId5"/>
            <a:extLst>
              <a:ext uri="{FF2B5EF4-FFF2-40B4-BE49-F238E27FC236}">
                <a16:creationId xmlns:a16="http://schemas.microsoft.com/office/drawing/2014/main" id="{BED9404C-683C-4994-B15F-269803A40404}"/>
              </a:ext>
            </a:extLst>
          </xdr:cNvPr>
          <xdr:cNvSpPr/>
        </xdr:nvSpPr>
        <xdr:spPr>
          <a:xfrm>
            <a:off x="11238658166" y="226326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4.1 סעיפי חובה במסמך הגדרות מאגר</a:t>
            </a:r>
          </a:p>
        </xdr:txBody>
      </xdr:sp>
      <xdr:sp macro="" textlink="">
        <xdr:nvSpPr>
          <xdr:cNvPr id="21" name="מלבן: פינות מעוגלות 20">
            <a:extLst>
              <a:ext uri="{FF2B5EF4-FFF2-40B4-BE49-F238E27FC236}">
                <a16:creationId xmlns:a16="http://schemas.microsoft.com/office/drawing/2014/main" id="{B091C1E4-6229-49DA-92C8-977A0DBFFE18}"/>
              </a:ext>
            </a:extLst>
          </xdr:cNvPr>
          <xdr:cNvSpPr/>
        </xdr:nvSpPr>
        <xdr:spPr>
          <a:xfrm>
            <a:off x="11238658166" y="257934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1"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5. בקרה שוטפת (אנחנו כאן)</a:t>
            </a:r>
          </a:p>
        </xdr:txBody>
      </xdr:sp>
      <xdr:sp macro="" textlink="">
        <xdr:nvSpPr>
          <xdr:cNvPr id="22" name="מלבן: פינות מעוגלות 21">
            <a:hlinkClick xmlns:r="http://schemas.openxmlformats.org/officeDocument/2006/relationships" r:id="rId6"/>
            <a:extLst>
              <a:ext uri="{FF2B5EF4-FFF2-40B4-BE49-F238E27FC236}">
                <a16:creationId xmlns:a16="http://schemas.microsoft.com/office/drawing/2014/main" id="{8FC243AD-79D6-489D-8413-DC424C71458B}"/>
              </a:ext>
            </a:extLst>
          </xdr:cNvPr>
          <xdr:cNvSpPr/>
        </xdr:nvSpPr>
        <xdr:spPr>
          <a:xfrm>
            <a:off x="11238658166" y="289542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5.1 תיקון ליקויים</a:t>
            </a:r>
          </a:p>
        </xdr:txBody>
      </xdr:sp>
      <xdr:sp macro="" textlink="">
        <xdr:nvSpPr>
          <xdr:cNvPr id="23" name="מלבן: פינות מעוגלות 22">
            <a:hlinkClick xmlns:r="http://schemas.openxmlformats.org/officeDocument/2006/relationships" r:id="rId7"/>
            <a:extLst>
              <a:ext uri="{FF2B5EF4-FFF2-40B4-BE49-F238E27FC236}">
                <a16:creationId xmlns:a16="http://schemas.microsoft.com/office/drawing/2014/main" id="{765EA297-B2D3-4594-A34B-A1AA9E54CA7C}"/>
              </a:ext>
            </a:extLst>
          </xdr:cNvPr>
          <xdr:cNvSpPr/>
        </xdr:nvSpPr>
        <xdr:spPr>
          <a:xfrm>
            <a:off x="11238658166" y="321150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6. רישום והודעה על מאגרי מידע</a:t>
            </a:r>
          </a:p>
        </xdr:txBody>
      </xdr:sp>
      <xdr:sp macro="" textlink="">
        <xdr:nvSpPr>
          <xdr:cNvPr id="24" name="מלבן: פינות מעוגלות 23">
            <a:hlinkClick xmlns:r="http://schemas.openxmlformats.org/officeDocument/2006/relationships" r:id="rId8"/>
            <a:extLst>
              <a:ext uri="{FF2B5EF4-FFF2-40B4-BE49-F238E27FC236}">
                <a16:creationId xmlns:a16="http://schemas.microsoft.com/office/drawing/2014/main" id="{EF51DFC5-82CE-416C-A707-77F14C066A29}"/>
              </a:ext>
            </a:extLst>
          </xdr:cNvPr>
          <xdr:cNvSpPr/>
        </xdr:nvSpPr>
        <xdr:spPr>
          <a:xfrm>
            <a:off x="11238658166" y="352758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7. דיוור ישיר</a:t>
            </a:r>
          </a:p>
        </xdr:txBody>
      </xdr:sp>
      <xdr:sp macro="" textlink="">
        <xdr:nvSpPr>
          <xdr:cNvPr id="25" name="מלבן: פינות מעוגלות 24">
            <a:hlinkClick xmlns:r="http://schemas.openxmlformats.org/officeDocument/2006/relationships" r:id="rId9"/>
            <a:extLst>
              <a:ext uri="{FF2B5EF4-FFF2-40B4-BE49-F238E27FC236}">
                <a16:creationId xmlns:a16="http://schemas.microsoft.com/office/drawing/2014/main" id="{77A3297C-1176-477F-9A65-CD0B7D2FEA84}"/>
              </a:ext>
            </a:extLst>
          </xdr:cNvPr>
          <xdr:cNvSpPr/>
        </xdr:nvSpPr>
        <xdr:spPr>
          <a:xfrm>
            <a:off x="11238658166" y="384366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8. הדרכת עובדים</a:t>
            </a:r>
          </a:p>
        </xdr:txBody>
      </xdr:sp>
      <xdr:sp macro="" textlink="">
        <xdr:nvSpPr>
          <xdr:cNvPr id="26" name="מלבן: פינות מעוגלות 25">
            <a:hlinkClick xmlns:r="http://schemas.openxmlformats.org/officeDocument/2006/relationships" r:id="rId10"/>
            <a:extLst>
              <a:ext uri="{FF2B5EF4-FFF2-40B4-BE49-F238E27FC236}">
                <a16:creationId xmlns:a16="http://schemas.microsoft.com/office/drawing/2014/main" id="{90767143-DB31-457D-920D-9A2341ADDFFB}"/>
              </a:ext>
            </a:extLst>
          </xdr:cNvPr>
          <xdr:cNvSpPr/>
        </xdr:nvSpPr>
        <xdr:spPr>
          <a:xfrm>
            <a:off x="11238658166" y="415974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9. טיפול בפניות</a:t>
            </a:r>
          </a:p>
        </xdr:txBody>
      </xdr:sp>
      <xdr:sp macro="" textlink="">
        <xdr:nvSpPr>
          <xdr:cNvPr id="27" name="מלבן: פינות מעוגלות 26">
            <a:hlinkClick xmlns:r="http://schemas.openxmlformats.org/officeDocument/2006/relationships" r:id="rId11"/>
            <a:extLst>
              <a:ext uri="{FF2B5EF4-FFF2-40B4-BE49-F238E27FC236}">
                <a16:creationId xmlns:a16="http://schemas.microsoft.com/office/drawing/2014/main" id="{AD579088-6AF7-4EF3-89BB-070AD7400CF2}"/>
              </a:ext>
            </a:extLst>
          </xdr:cNvPr>
          <xdr:cNvSpPr/>
        </xdr:nvSpPr>
        <xdr:spPr>
          <a:xfrm>
            <a:off x="11238658166" y="4475834"/>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10. אחריות דירקטוריון</a:t>
            </a:r>
          </a:p>
        </xdr:txBody>
      </xdr:sp>
      <xdr:sp macro="" textlink="">
        <xdr:nvSpPr>
          <xdr:cNvPr id="28" name="מלבן: פינות מעוגלות 27">
            <a:hlinkClick xmlns:r="http://schemas.openxmlformats.org/officeDocument/2006/relationships" r:id="rId12"/>
            <a:extLst>
              <a:ext uri="{FF2B5EF4-FFF2-40B4-BE49-F238E27FC236}">
                <a16:creationId xmlns:a16="http://schemas.microsoft.com/office/drawing/2014/main" id="{14841324-C99F-4155-ACD9-3DC8A1AF3826}"/>
              </a:ext>
            </a:extLst>
          </xdr:cNvPr>
          <xdr:cNvSpPr/>
        </xdr:nvSpPr>
        <xdr:spPr>
          <a:xfrm>
            <a:off x="11238658166" y="682869"/>
            <a:ext cx="3170696" cy="288000"/>
          </a:xfrm>
          <a:prstGeom prst="roundRect">
            <a:avLst/>
          </a:prstGeom>
          <a:grpFill/>
          <a:ln w="3175" cap="flat" cmpd="sng" algn="ctr">
            <a:no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sp3d/>
          </a:bodyP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outerShdw blurRad="63500" sx="102000" sy="102000" algn="ctr" rotWithShape="0">
                    <a:prstClr val="black">
                      <a:alpha val="40000"/>
                    </a:prstClr>
                  </a:outerShdw>
                </a:effectLst>
                <a:uLnTx/>
                <a:uFillTx/>
                <a:latin typeface="Calibri" panose="020F0502020204030204" pitchFamily="34" charset="0"/>
                <a:ea typeface="Calibri" panose="020F0502020204030204" pitchFamily="34" charset="0"/>
                <a:cs typeface="Calibri" panose="020F0502020204030204" pitchFamily="34" charset="0"/>
              </a:rPr>
              <a:t>1. יידוע נושאי מידע</a:t>
            </a:r>
          </a:p>
        </xdr:txBody>
      </xdr:sp>
    </xdr:grpSp>
    <xdr:clientData/>
  </xdr:twoCellAnchor>
  <xdr:twoCellAnchor editAs="oneCell">
    <xdr:from>
      <xdr:col>1</xdr:col>
      <xdr:colOff>98950</xdr:colOff>
      <xdr:row>0</xdr:row>
      <xdr:rowOff>133350</xdr:rowOff>
    </xdr:from>
    <xdr:to>
      <xdr:col>1</xdr:col>
      <xdr:colOff>533400</xdr:colOff>
      <xdr:row>2</xdr:row>
      <xdr:rowOff>1275</xdr:rowOff>
    </xdr:to>
    <xdr:pic>
      <xdr:nvPicPr>
        <xdr:cNvPr id="29" name="תמונה 28">
          <a:hlinkClick xmlns:r="http://schemas.openxmlformats.org/officeDocument/2006/relationships" r:id="rId13"/>
          <a:extLst>
            <a:ext uri="{FF2B5EF4-FFF2-40B4-BE49-F238E27FC236}">
              <a16:creationId xmlns:a16="http://schemas.microsoft.com/office/drawing/2014/main" id="{F501313D-2212-4E68-A308-C04C52C241AC}"/>
            </a:ext>
          </a:extLst>
        </xdr:cNvPr>
        <xdr:cNvPicPr>
          <a:picLocks noChangeAspect="1" noChangeArrowheads="1"/>
        </xdr:cNvPicPr>
      </xdr:nvPicPr>
      <xdr:blipFill>
        <a:blip xmlns:r="http://schemas.openxmlformats.org/officeDocument/2006/relationships" r:embed="rId14" cstate="print">
          <a:duotone>
            <a:prstClr val="black"/>
            <a:srgbClr val="5B9BD5">
              <a:tint val="45000"/>
              <a:satMod val="400000"/>
            </a:srgbClr>
          </a:duotone>
          <a:extLst>
            <a:ext uri="{28A0092B-C50C-407E-A947-70E740481C1C}">
              <a14:useLocalDpi xmlns:a14="http://schemas.microsoft.com/office/drawing/2010/main" val="0"/>
            </a:ext>
          </a:extLst>
        </a:blip>
        <a:srcRect/>
        <a:stretch>
          <a:fillRect/>
        </a:stretch>
      </xdr:blipFill>
      <xdr:spPr bwMode="auto">
        <a:xfrm>
          <a:off x="11241338325" y="133350"/>
          <a:ext cx="434450" cy="46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261938</xdr:colOff>
      <xdr:row>2</xdr:row>
      <xdr:rowOff>168519</xdr:rowOff>
    </xdr:from>
    <xdr:to>
      <xdr:col>4</xdr:col>
      <xdr:colOff>727534</xdr:colOff>
      <xdr:row>24</xdr:row>
      <xdr:rowOff>58484</xdr:rowOff>
    </xdr:to>
    <xdr:grpSp>
      <xdr:nvGrpSpPr>
        <xdr:cNvPr id="2" name="קבוצה 1">
          <a:extLst>
            <a:ext uri="{FF2B5EF4-FFF2-40B4-BE49-F238E27FC236}">
              <a16:creationId xmlns:a16="http://schemas.microsoft.com/office/drawing/2014/main" id="{B01C88CC-24F2-4B4C-91FD-D537DA791905}"/>
            </a:ext>
          </a:extLst>
        </xdr:cNvPr>
        <xdr:cNvGrpSpPr/>
      </xdr:nvGrpSpPr>
      <xdr:grpSpPr>
        <a:xfrm>
          <a:off x="11237934266" y="768594"/>
          <a:ext cx="3170696" cy="4490540"/>
          <a:chOff x="11237934266" y="673344"/>
          <a:chExt cx="3170696" cy="4071440"/>
        </a:xfrm>
        <a:solidFill>
          <a:schemeClr val="accent5">
            <a:lumMod val="40000"/>
            <a:lumOff val="60000"/>
          </a:schemeClr>
        </a:solidFill>
      </xdr:grpSpPr>
      <xdr:sp macro="" textlink="">
        <xdr:nvSpPr>
          <xdr:cNvPr id="30" name="מלבן: פינות מעוגלות 29">
            <a:hlinkClick xmlns:r="http://schemas.openxmlformats.org/officeDocument/2006/relationships" r:id="rId1"/>
            <a:extLst>
              <a:ext uri="{FF2B5EF4-FFF2-40B4-BE49-F238E27FC236}">
                <a16:creationId xmlns:a16="http://schemas.microsoft.com/office/drawing/2014/main" id="{6E6D3E5D-6BD1-4E76-84D8-D2B4D8D31529}"/>
              </a:ext>
            </a:extLst>
          </xdr:cNvPr>
          <xdr:cNvSpPr/>
        </xdr:nvSpPr>
        <xdr:spPr>
          <a:xfrm>
            <a:off x="11237934266" y="988631"/>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2. הסכמה </a:t>
            </a:r>
          </a:p>
        </xdr:txBody>
      </xdr:sp>
      <xdr:sp macro="" textlink="">
        <xdr:nvSpPr>
          <xdr:cNvPr id="31" name="מלבן: פינות מעוגלות 30">
            <a:hlinkClick xmlns:r="http://schemas.openxmlformats.org/officeDocument/2006/relationships" r:id="rId2"/>
            <a:extLst>
              <a:ext uri="{FF2B5EF4-FFF2-40B4-BE49-F238E27FC236}">
                <a16:creationId xmlns:a16="http://schemas.microsoft.com/office/drawing/2014/main" id="{8B731D18-5A75-4F92-B5F8-0C793FD34EF8}"/>
              </a:ext>
            </a:extLst>
          </xdr:cNvPr>
          <xdr:cNvSpPr/>
        </xdr:nvSpPr>
        <xdr:spPr>
          <a:xfrm>
            <a:off x="11237934266" y="1303918"/>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2.1 סוגיות נוספות לבחינה בהתאם להמלצות הרשות</a:t>
            </a:r>
          </a:p>
        </xdr:txBody>
      </xdr:sp>
      <xdr:sp macro="" textlink="">
        <xdr:nvSpPr>
          <xdr:cNvPr id="32" name="מלבן: פינות מעוגלות 31">
            <a:hlinkClick xmlns:r="http://schemas.openxmlformats.org/officeDocument/2006/relationships" r:id="rId3"/>
            <a:extLst>
              <a:ext uri="{FF2B5EF4-FFF2-40B4-BE49-F238E27FC236}">
                <a16:creationId xmlns:a16="http://schemas.microsoft.com/office/drawing/2014/main" id="{B9A055B1-DDF1-46B4-AF96-6A57C03FE903}"/>
              </a:ext>
            </a:extLst>
          </xdr:cNvPr>
          <xdr:cNvSpPr/>
        </xdr:nvSpPr>
        <xdr:spPr>
          <a:xfrm>
            <a:off x="11237934266" y="1619205"/>
            <a:ext cx="3170696" cy="288000"/>
          </a:xfrm>
          <a:prstGeom prst="roundRect">
            <a:avLst/>
          </a:prstGeom>
          <a:grpFill/>
          <a:ln w="12700" cap="flat" cmpd="sng" algn="ctr">
            <a:solidFill>
              <a:srgbClr val="4472C4">
                <a:shade val="50000"/>
              </a:srgbClr>
            </a:solidFill>
            <a:prstDash val="solid"/>
            <a:miter lim="800000"/>
          </a:ln>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3. עיבוד, צמידות מטרה וצמצום מידע</a:t>
            </a:r>
          </a:p>
        </xdr:txBody>
      </xdr:sp>
      <xdr:sp macro="" textlink="">
        <xdr:nvSpPr>
          <xdr:cNvPr id="33" name="מלבן: פינות מעוגלות 32">
            <a:hlinkClick xmlns:r="http://schemas.openxmlformats.org/officeDocument/2006/relationships" r:id="rId4"/>
            <a:extLst>
              <a:ext uri="{FF2B5EF4-FFF2-40B4-BE49-F238E27FC236}">
                <a16:creationId xmlns:a16="http://schemas.microsoft.com/office/drawing/2014/main" id="{AD847B9C-C31A-437A-9615-EB530211DCF0}"/>
              </a:ext>
            </a:extLst>
          </xdr:cNvPr>
          <xdr:cNvSpPr/>
        </xdr:nvSpPr>
        <xdr:spPr>
          <a:xfrm>
            <a:off x="11237934266" y="1934492"/>
            <a:ext cx="3170696" cy="288000"/>
          </a:xfrm>
          <a:prstGeom prst="roundRect">
            <a:avLst/>
          </a:prstGeom>
          <a:grpFill/>
          <a:ln w="12700" cap="flat" cmpd="sng" algn="ctr">
            <a:solidFill>
              <a:srgbClr val="4472C4">
                <a:shade val="50000"/>
              </a:srgbClr>
            </a:solidFill>
            <a:prstDash val="solid"/>
            <a:miter lim="800000"/>
          </a:ln>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4. אבטחת מידע</a:t>
            </a:r>
          </a:p>
        </xdr:txBody>
      </xdr:sp>
      <xdr:sp macro="" textlink="">
        <xdr:nvSpPr>
          <xdr:cNvPr id="34" name="מלבן: פינות מעוגלות 33">
            <a:hlinkClick xmlns:r="http://schemas.openxmlformats.org/officeDocument/2006/relationships" r:id="rId5"/>
            <a:extLst>
              <a:ext uri="{FF2B5EF4-FFF2-40B4-BE49-F238E27FC236}">
                <a16:creationId xmlns:a16="http://schemas.microsoft.com/office/drawing/2014/main" id="{78BF5309-69EB-425B-8A4B-168342296D9A}"/>
              </a:ext>
            </a:extLst>
          </xdr:cNvPr>
          <xdr:cNvSpPr/>
        </xdr:nvSpPr>
        <xdr:spPr>
          <a:xfrm>
            <a:off x="11237934266" y="224977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4.1 סעיפי חובה במסמך הגדרות מאגר</a:t>
            </a:r>
          </a:p>
        </xdr:txBody>
      </xdr:sp>
      <xdr:sp macro="" textlink="">
        <xdr:nvSpPr>
          <xdr:cNvPr id="35" name="מלבן: פינות מעוגלות 34">
            <a:hlinkClick xmlns:r="http://schemas.openxmlformats.org/officeDocument/2006/relationships" r:id="rId6"/>
            <a:extLst>
              <a:ext uri="{FF2B5EF4-FFF2-40B4-BE49-F238E27FC236}">
                <a16:creationId xmlns:a16="http://schemas.microsoft.com/office/drawing/2014/main" id="{D159081D-3F8F-447C-847E-52A99A866438}"/>
              </a:ext>
            </a:extLst>
          </xdr:cNvPr>
          <xdr:cNvSpPr/>
        </xdr:nvSpPr>
        <xdr:spPr>
          <a:xfrm>
            <a:off x="11237934266" y="2565066"/>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5. בקרה שוטפת</a:t>
            </a:r>
          </a:p>
        </xdr:txBody>
      </xdr:sp>
      <xdr:sp macro="" textlink="">
        <xdr:nvSpPr>
          <xdr:cNvPr id="36" name="מלבן: פינות מעוגלות 35">
            <a:extLst>
              <a:ext uri="{FF2B5EF4-FFF2-40B4-BE49-F238E27FC236}">
                <a16:creationId xmlns:a16="http://schemas.microsoft.com/office/drawing/2014/main" id="{0620E5F5-AF3C-489F-B4EE-536CD025DAE8}"/>
              </a:ext>
            </a:extLst>
          </xdr:cNvPr>
          <xdr:cNvSpPr/>
        </xdr:nvSpPr>
        <xdr:spPr>
          <a:xfrm>
            <a:off x="11237934266" y="2880353"/>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1"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5.1 תיקון ליקויים (אנחנו כאן)</a:t>
            </a:r>
          </a:p>
        </xdr:txBody>
      </xdr:sp>
      <xdr:sp macro="" textlink="">
        <xdr:nvSpPr>
          <xdr:cNvPr id="37" name="מלבן: פינות מעוגלות 36">
            <a:hlinkClick xmlns:r="http://schemas.openxmlformats.org/officeDocument/2006/relationships" r:id="rId7"/>
            <a:extLst>
              <a:ext uri="{FF2B5EF4-FFF2-40B4-BE49-F238E27FC236}">
                <a16:creationId xmlns:a16="http://schemas.microsoft.com/office/drawing/2014/main" id="{80791F74-C1B1-4100-8804-042F00085919}"/>
              </a:ext>
            </a:extLst>
          </xdr:cNvPr>
          <xdr:cNvSpPr/>
        </xdr:nvSpPr>
        <xdr:spPr>
          <a:xfrm>
            <a:off x="11237934266" y="3195640"/>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6. רישום והודעה על מאגרי מידע</a:t>
            </a:r>
          </a:p>
        </xdr:txBody>
      </xdr:sp>
      <xdr:sp macro="" textlink="">
        <xdr:nvSpPr>
          <xdr:cNvPr id="38" name="מלבן: פינות מעוגלות 37">
            <a:hlinkClick xmlns:r="http://schemas.openxmlformats.org/officeDocument/2006/relationships" r:id="rId8"/>
            <a:extLst>
              <a:ext uri="{FF2B5EF4-FFF2-40B4-BE49-F238E27FC236}">
                <a16:creationId xmlns:a16="http://schemas.microsoft.com/office/drawing/2014/main" id="{ADA5A205-BFC7-4304-A0CE-895B51328700}"/>
              </a:ext>
            </a:extLst>
          </xdr:cNvPr>
          <xdr:cNvSpPr/>
        </xdr:nvSpPr>
        <xdr:spPr>
          <a:xfrm>
            <a:off x="11237934266" y="3510927"/>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7. דיוור ישיר</a:t>
            </a:r>
          </a:p>
        </xdr:txBody>
      </xdr:sp>
      <xdr:sp macro="" textlink="">
        <xdr:nvSpPr>
          <xdr:cNvPr id="39" name="מלבן: פינות מעוגלות 38">
            <a:hlinkClick xmlns:r="http://schemas.openxmlformats.org/officeDocument/2006/relationships" r:id="rId9"/>
            <a:extLst>
              <a:ext uri="{FF2B5EF4-FFF2-40B4-BE49-F238E27FC236}">
                <a16:creationId xmlns:a16="http://schemas.microsoft.com/office/drawing/2014/main" id="{CC60E050-386B-4F4D-817F-724788751890}"/>
              </a:ext>
            </a:extLst>
          </xdr:cNvPr>
          <xdr:cNvSpPr/>
        </xdr:nvSpPr>
        <xdr:spPr>
          <a:xfrm>
            <a:off x="11237934266" y="3826214"/>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8. הדרכת עובדים</a:t>
            </a:r>
          </a:p>
        </xdr:txBody>
      </xdr:sp>
      <xdr:sp macro="" textlink="">
        <xdr:nvSpPr>
          <xdr:cNvPr id="40" name="מלבן: פינות מעוגלות 39">
            <a:hlinkClick xmlns:r="http://schemas.openxmlformats.org/officeDocument/2006/relationships" r:id="rId10"/>
            <a:extLst>
              <a:ext uri="{FF2B5EF4-FFF2-40B4-BE49-F238E27FC236}">
                <a16:creationId xmlns:a16="http://schemas.microsoft.com/office/drawing/2014/main" id="{383F0903-B345-4A1F-8DB0-09FE04C450DD}"/>
              </a:ext>
            </a:extLst>
          </xdr:cNvPr>
          <xdr:cNvSpPr/>
        </xdr:nvSpPr>
        <xdr:spPr>
          <a:xfrm>
            <a:off x="11237934266" y="4141501"/>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9. טיפול בפניות</a:t>
            </a:r>
          </a:p>
        </xdr:txBody>
      </xdr:sp>
      <xdr:sp macro="" textlink="">
        <xdr:nvSpPr>
          <xdr:cNvPr id="41" name="מלבן: פינות מעוגלות 40">
            <a:hlinkClick xmlns:r="http://schemas.openxmlformats.org/officeDocument/2006/relationships" r:id="rId11"/>
            <a:extLst>
              <a:ext uri="{FF2B5EF4-FFF2-40B4-BE49-F238E27FC236}">
                <a16:creationId xmlns:a16="http://schemas.microsoft.com/office/drawing/2014/main" id="{C4B3B3D3-E061-4F34-858A-D762F0C8E585}"/>
              </a:ext>
            </a:extLst>
          </xdr:cNvPr>
          <xdr:cNvSpPr/>
        </xdr:nvSpPr>
        <xdr:spPr>
          <a:xfrm>
            <a:off x="11237934266" y="4456784"/>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10. אחריות דירקטוריון</a:t>
            </a:r>
          </a:p>
        </xdr:txBody>
      </xdr:sp>
      <xdr:sp macro="" textlink="">
        <xdr:nvSpPr>
          <xdr:cNvPr id="42" name="מלבן: פינות מעוגלות 41">
            <a:hlinkClick xmlns:r="http://schemas.openxmlformats.org/officeDocument/2006/relationships" r:id="rId12"/>
            <a:extLst>
              <a:ext uri="{FF2B5EF4-FFF2-40B4-BE49-F238E27FC236}">
                <a16:creationId xmlns:a16="http://schemas.microsoft.com/office/drawing/2014/main" id="{B2D5CD96-D37E-4C03-9ADC-51EE45D77387}"/>
              </a:ext>
            </a:extLst>
          </xdr:cNvPr>
          <xdr:cNvSpPr/>
        </xdr:nvSpPr>
        <xdr:spPr>
          <a:xfrm>
            <a:off x="11237934266" y="673344"/>
            <a:ext cx="3170696" cy="288000"/>
          </a:xfrm>
          <a:prstGeom prst="roundRect">
            <a:avLst/>
          </a:prstGeom>
          <a:grpFill/>
          <a:ln w="3175" cap="flat" cmpd="sng" algn="ctr">
            <a:no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sp3d/>
          </a:bodyP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outerShdw blurRad="63500" sx="102000" sy="102000" algn="ctr" rotWithShape="0">
                    <a:prstClr val="black">
                      <a:alpha val="40000"/>
                    </a:prstClr>
                  </a:outerShdw>
                </a:effectLst>
                <a:uLnTx/>
                <a:uFillTx/>
                <a:latin typeface="Calibri" panose="020F0502020204030204" pitchFamily="34" charset="0"/>
                <a:ea typeface="Calibri" panose="020F0502020204030204" pitchFamily="34" charset="0"/>
                <a:cs typeface="Calibri" panose="020F0502020204030204" pitchFamily="34" charset="0"/>
              </a:rPr>
              <a:t>1. יידוע נושאי מידע</a:t>
            </a:r>
          </a:p>
        </xdr:txBody>
      </xdr:sp>
    </xdr:grpSp>
    <xdr:clientData/>
  </xdr:twoCellAnchor>
  <xdr:twoCellAnchor editAs="oneCell">
    <xdr:from>
      <xdr:col>1</xdr:col>
      <xdr:colOff>38100</xdr:colOff>
      <xdr:row>0</xdr:row>
      <xdr:rowOff>161925</xdr:rowOff>
    </xdr:from>
    <xdr:to>
      <xdr:col>1</xdr:col>
      <xdr:colOff>472550</xdr:colOff>
      <xdr:row>2</xdr:row>
      <xdr:rowOff>10800</xdr:rowOff>
    </xdr:to>
    <xdr:pic>
      <xdr:nvPicPr>
        <xdr:cNvPr id="44" name="תמונה 43">
          <a:hlinkClick xmlns:r="http://schemas.openxmlformats.org/officeDocument/2006/relationships" r:id="rId13"/>
          <a:extLst>
            <a:ext uri="{FF2B5EF4-FFF2-40B4-BE49-F238E27FC236}">
              <a16:creationId xmlns:a16="http://schemas.microsoft.com/office/drawing/2014/main" id="{4F4E1A33-DC03-426B-BE08-3802A712B1DE}"/>
            </a:ext>
          </a:extLst>
        </xdr:cNvPr>
        <xdr:cNvPicPr>
          <a:picLocks noChangeAspect="1" noChangeArrowheads="1"/>
        </xdr:cNvPicPr>
      </xdr:nvPicPr>
      <xdr:blipFill>
        <a:blip xmlns:r="http://schemas.openxmlformats.org/officeDocument/2006/relationships" r:embed="rId14" cstate="print">
          <a:duotone>
            <a:prstClr val="black"/>
            <a:srgbClr val="5B9BD5">
              <a:tint val="45000"/>
              <a:satMod val="400000"/>
            </a:srgbClr>
          </a:duotone>
          <a:extLst>
            <a:ext uri="{28A0092B-C50C-407E-A947-70E740481C1C}">
              <a14:useLocalDpi xmlns:a14="http://schemas.microsoft.com/office/drawing/2010/main" val="0"/>
            </a:ext>
          </a:extLst>
        </a:blip>
        <a:srcRect/>
        <a:stretch>
          <a:fillRect/>
        </a:stretch>
      </xdr:blipFill>
      <xdr:spPr bwMode="auto">
        <a:xfrm>
          <a:off x="11240618125" y="161925"/>
          <a:ext cx="434450" cy="44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252413</xdr:colOff>
      <xdr:row>2</xdr:row>
      <xdr:rowOff>187568</xdr:rowOff>
    </xdr:from>
    <xdr:to>
      <xdr:col>4</xdr:col>
      <xdr:colOff>718009</xdr:colOff>
      <xdr:row>19</xdr:row>
      <xdr:rowOff>10859</xdr:rowOff>
    </xdr:to>
    <xdr:grpSp>
      <xdr:nvGrpSpPr>
        <xdr:cNvPr id="15" name="קבוצה 14">
          <a:extLst>
            <a:ext uri="{FF2B5EF4-FFF2-40B4-BE49-F238E27FC236}">
              <a16:creationId xmlns:a16="http://schemas.microsoft.com/office/drawing/2014/main" id="{447ABC1B-7670-4C77-959D-9F4F549CE577}"/>
            </a:ext>
          </a:extLst>
        </xdr:cNvPr>
        <xdr:cNvGrpSpPr/>
      </xdr:nvGrpSpPr>
      <xdr:grpSpPr>
        <a:xfrm>
          <a:off x="11241172766" y="787643"/>
          <a:ext cx="3170696" cy="4823916"/>
          <a:chOff x="11241172766" y="692393"/>
          <a:chExt cx="3170696" cy="4138116"/>
        </a:xfrm>
        <a:solidFill>
          <a:schemeClr val="accent5">
            <a:lumMod val="40000"/>
            <a:lumOff val="60000"/>
          </a:schemeClr>
        </a:solidFill>
      </xdr:grpSpPr>
      <xdr:sp macro="" textlink="">
        <xdr:nvSpPr>
          <xdr:cNvPr id="2" name="מלבן: פינות מעוגלות 1">
            <a:hlinkClick xmlns:r="http://schemas.openxmlformats.org/officeDocument/2006/relationships" r:id="rId1"/>
            <a:extLst>
              <a:ext uri="{FF2B5EF4-FFF2-40B4-BE49-F238E27FC236}">
                <a16:creationId xmlns:a16="http://schemas.microsoft.com/office/drawing/2014/main" id="{C002C8F7-81E3-4851-8B7C-CB278DBCE3FE}"/>
              </a:ext>
            </a:extLst>
          </xdr:cNvPr>
          <xdr:cNvSpPr/>
        </xdr:nvSpPr>
        <xdr:spPr>
          <a:xfrm>
            <a:off x="11241172766" y="1013236"/>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2. הסכמה </a:t>
            </a:r>
          </a:p>
        </xdr:txBody>
      </xdr:sp>
      <xdr:sp macro="" textlink="">
        <xdr:nvSpPr>
          <xdr:cNvPr id="3" name="מלבן: פינות מעוגלות 2">
            <a:hlinkClick xmlns:r="http://schemas.openxmlformats.org/officeDocument/2006/relationships" r:id="rId2"/>
            <a:extLst>
              <a:ext uri="{FF2B5EF4-FFF2-40B4-BE49-F238E27FC236}">
                <a16:creationId xmlns:a16="http://schemas.microsoft.com/office/drawing/2014/main" id="{1F0DB6F7-33FD-4ECD-9F43-D6A0D48D3173}"/>
              </a:ext>
            </a:extLst>
          </xdr:cNvPr>
          <xdr:cNvSpPr/>
        </xdr:nvSpPr>
        <xdr:spPr>
          <a:xfrm>
            <a:off x="11241172766" y="133407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2.1 סוגיות נוספות לבחינה בהתאם להמלצות הרשות</a:t>
            </a:r>
          </a:p>
        </xdr:txBody>
      </xdr:sp>
      <xdr:sp macro="" textlink="">
        <xdr:nvSpPr>
          <xdr:cNvPr id="4" name="מלבן: פינות מעוגלות 3">
            <a:hlinkClick xmlns:r="http://schemas.openxmlformats.org/officeDocument/2006/relationships" r:id="rId3"/>
            <a:extLst>
              <a:ext uri="{FF2B5EF4-FFF2-40B4-BE49-F238E27FC236}">
                <a16:creationId xmlns:a16="http://schemas.microsoft.com/office/drawing/2014/main" id="{0A994289-0E9E-4DB3-835C-FBD1B0B3DBA1}"/>
              </a:ext>
            </a:extLst>
          </xdr:cNvPr>
          <xdr:cNvSpPr/>
        </xdr:nvSpPr>
        <xdr:spPr>
          <a:xfrm>
            <a:off x="11241172766" y="1654922"/>
            <a:ext cx="3170696" cy="288000"/>
          </a:xfrm>
          <a:prstGeom prst="roundRect">
            <a:avLst/>
          </a:prstGeom>
          <a:grpFill/>
          <a:ln w="12700" cap="flat" cmpd="sng" algn="ctr">
            <a:solidFill>
              <a:srgbClr val="4472C4">
                <a:shade val="50000"/>
              </a:srgbClr>
            </a:solidFill>
            <a:prstDash val="solid"/>
            <a:miter lim="800000"/>
          </a:ln>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3. עיבוד, צמידות מטרה וצמצום מידע</a:t>
            </a:r>
          </a:p>
        </xdr:txBody>
      </xdr:sp>
      <xdr:sp macro="" textlink="">
        <xdr:nvSpPr>
          <xdr:cNvPr id="5" name="מלבן: פינות מעוגלות 4">
            <a:hlinkClick xmlns:r="http://schemas.openxmlformats.org/officeDocument/2006/relationships" r:id="rId4"/>
            <a:extLst>
              <a:ext uri="{FF2B5EF4-FFF2-40B4-BE49-F238E27FC236}">
                <a16:creationId xmlns:a16="http://schemas.microsoft.com/office/drawing/2014/main" id="{B159A2EE-596D-495C-ABC5-F0874671F34A}"/>
              </a:ext>
            </a:extLst>
          </xdr:cNvPr>
          <xdr:cNvSpPr/>
        </xdr:nvSpPr>
        <xdr:spPr>
          <a:xfrm>
            <a:off x="11241172766" y="1975765"/>
            <a:ext cx="3170696" cy="288000"/>
          </a:xfrm>
          <a:prstGeom prst="roundRect">
            <a:avLst/>
          </a:prstGeom>
          <a:grpFill/>
          <a:ln w="12700" cap="flat" cmpd="sng" algn="ctr">
            <a:solidFill>
              <a:srgbClr val="4472C4">
                <a:shade val="50000"/>
              </a:srgbClr>
            </a:solidFill>
            <a:prstDash val="solid"/>
            <a:miter lim="800000"/>
          </a:ln>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4. אבטחת מידע</a:t>
            </a:r>
          </a:p>
        </xdr:txBody>
      </xdr:sp>
      <xdr:sp macro="" textlink="">
        <xdr:nvSpPr>
          <xdr:cNvPr id="6" name="מלבן: פינות מעוגלות 5">
            <a:hlinkClick xmlns:r="http://schemas.openxmlformats.org/officeDocument/2006/relationships" r:id="rId5"/>
            <a:extLst>
              <a:ext uri="{FF2B5EF4-FFF2-40B4-BE49-F238E27FC236}">
                <a16:creationId xmlns:a16="http://schemas.microsoft.com/office/drawing/2014/main" id="{8958C82E-9916-4FC7-88E3-950D6B50F2FF}"/>
              </a:ext>
            </a:extLst>
          </xdr:cNvPr>
          <xdr:cNvSpPr/>
        </xdr:nvSpPr>
        <xdr:spPr>
          <a:xfrm>
            <a:off x="11241172766" y="2296608"/>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4.1 סעיפי חובה במסמך הגדרות מאגר</a:t>
            </a:r>
          </a:p>
        </xdr:txBody>
      </xdr:sp>
      <xdr:sp macro="" textlink="">
        <xdr:nvSpPr>
          <xdr:cNvPr id="7" name="מלבן: פינות מעוגלות 6">
            <a:hlinkClick xmlns:r="http://schemas.openxmlformats.org/officeDocument/2006/relationships" r:id="rId6"/>
            <a:extLst>
              <a:ext uri="{FF2B5EF4-FFF2-40B4-BE49-F238E27FC236}">
                <a16:creationId xmlns:a16="http://schemas.microsoft.com/office/drawing/2014/main" id="{DC5462F6-D88D-444F-A01B-FEA28EAEB4B1}"/>
              </a:ext>
            </a:extLst>
          </xdr:cNvPr>
          <xdr:cNvSpPr/>
        </xdr:nvSpPr>
        <xdr:spPr>
          <a:xfrm>
            <a:off x="11241172766" y="2617451"/>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5. בקרה שוטפת</a:t>
            </a:r>
          </a:p>
        </xdr:txBody>
      </xdr:sp>
      <xdr:sp macro="" textlink="">
        <xdr:nvSpPr>
          <xdr:cNvPr id="8" name="מלבן: פינות מעוגלות 7">
            <a:hlinkClick xmlns:r="http://schemas.openxmlformats.org/officeDocument/2006/relationships" r:id="rId7"/>
            <a:extLst>
              <a:ext uri="{FF2B5EF4-FFF2-40B4-BE49-F238E27FC236}">
                <a16:creationId xmlns:a16="http://schemas.microsoft.com/office/drawing/2014/main" id="{697A66A5-582C-4778-95DF-345700E9E4E5}"/>
              </a:ext>
            </a:extLst>
          </xdr:cNvPr>
          <xdr:cNvSpPr/>
        </xdr:nvSpPr>
        <xdr:spPr>
          <a:xfrm>
            <a:off x="11241172766" y="2938294"/>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5.1 תיקון ליקויים</a:t>
            </a:r>
          </a:p>
        </xdr:txBody>
      </xdr:sp>
      <xdr:sp macro="" textlink="">
        <xdr:nvSpPr>
          <xdr:cNvPr id="9" name="מלבן: פינות מעוגלות 8">
            <a:extLst>
              <a:ext uri="{FF2B5EF4-FFF2-40B4-BE49-F238E27FC236}">
                <a16:creationId xmlns:a16="http://schemas.microsoft.com/office/drawing/2014/main" id="{A7D6500A-243B-440A-81E3-6788B2429A32}"/>
              </a:ext>
            </a:extLst>
          </xdr:cNvPr>
          <xdr:cNvSpPr/>
        </xdr:nvSpPr>
        <xdr:spPr>
          <a:xfrm>
            <a:off x="11241172766" y="3259137"/>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1"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6. רישום והודעה על מאגרי מידע (אנחנו כאן)</a:t>
            </a:r>
          </a:p>
        </xdr:txBody>
      </xdr:sp>
      <xdr:sp macro="" textlink="">
        <xdr:nvSpPr>
          <xdr:cNvPr id="10" name="מלבן: פינות מעוגלות 9">
            <a:hlinkClick xmlns:r="http://schemas.openxmlformats.org/officeDocument/2006/relationships" r:id="rId8"/>
            <a:extLst>
              <a:ext uri="{FF2B5EF4-FFF2-40B4-BE49-F238E27FC236}">
                <a16:creationId xmlns:a16="http://schemas.microsoft.com/office/drawing/2014/main" id="{D81A136E-DC86-4B3D-9F0D-1792F0F08390}"/>
              </a:ext>
            </a:extLst>
          </xdr:cNvPr>
          <xdr:cNvSpPr/>
        </xdr:nvSpPr>
        <xdr:spPr>
          <a:xfrm>
            <a:off x="11241172766" y="3579980"/>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7. דיוור ישיר</a:t>
            </a:r>
          </a:p>
        </xdr:txBody>
      </xdr:sp>
      <xdr:sp macro="" textlink="">
        <xdr:nvSpPr>
          <xdr:cNvPr id="11" name="מלבן: פינות מעוגלות 10">
            <a:hlinkClick xmlns:r="http://schemas.openxmlformats.org/officeDocument/2006/relationships" r:id="rId9"/>
            <a:extLst>
              <a:ext uri="{FF2B5EF4-FFF2-40B4-BE49-F238E27FC236}">
                <a16:creationId xmlns:a16="http://schemas.microsoft.com/office/drawing/2014/main" id="{6382FD7F-0A8F-4789-AB99-F14462ECA7B3}"/>
              </a:ext>
            </a:extLst>
          </xdr:cNvPr>
          <xdr:cNvSpPr/>
        </xdr:nvSpPr>
        <xdr:spPr>
          <a:xfrm>
            <a:off x="11241172766" y="3900823"/>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8. הדרכת עובדים</a:t>
            </a:r>
          </a:p>
        </xdr:txBody>
      </xdr:sp>
      <xdr:sp macro="" textlink="">
        <xdr:nvSpPr>
          <xdr:cNvPr id="12" name="מלבן: פינות מעוגלות 11">
            <a:hlinkClick xmlns:r="http://schemas.openxmlformats.org/officeDocument/2006/relationships" r:id="rId10"/>
            <a:extLst>
              <a:ext uri="{FF2B5EF4-FFF2-40B4-BE49-F238E27FC236}">
                <a16:creationId xmlns:a16="http://schemas.microsoft.com/office/drawing/2014/main" id="{7E1A5FF7-E05B-48D1-A563-0E50AF320EB6}"/>
              </a:ext>
            </a:extLst>
          </xdr:cNvPr>
          <xdr:cNvSpPr/>
        </xdr:nvSpPr>
        <xdr:spPr>
          <a:xfrm>
            <a:off x="11241172766" y="4221666"/>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9. טיפול בפניות</a:t>
            </a:r>
          </a:p>
        </xdr:txBody>
      </xdr:sp>
      <xdr:sp macro="" textlink="">
        <xdr:nvSpPr>
          <xdr:cNvPr id="13" name="מלבן: פינות מעוגלות 12">
            <a:hlinkClick xmlns:r="http://schemas.openxmlformats.org/officeDocument/2006/relationships" r:id="rId11"/>
            <a:extLst>
              <a:ext uri="{FF2B5EF4-FFF2-40B4-BE49-F238E27FC236}">
                <a16:creationId xmlns:a16="http://schemas.microsoft.com/office/drawing/2014/main" id="{77AE03C3-5546-48DF-86BF-FA94225381A8}"/>
              </a:ext>
            </a:extLst>
          </xdr:cNvPr>
          <xdr:cNvSpPr/>
        </xdr:nvSpPr>
        <xdr:spPr>
          <a:xfrm>
            <a:off x="11241172766" y="454250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10. אחריות דירקטוריון</a:t>
            </a:r>
          </a:p>
        </xdr:txBody>
      </xdr:sp>
      <xdr:sp macro="" textlink="">
        <xdr:nvSpPr>
          <xdr:cNvPr id="14" name="מלבן: פינות מעוגלות 13">
            <a:hlinkClick xmlns:r="http://schemas.openxmlformats.org/officeDocument/2006/relationships" r:id="rId12"/>
            <a:extLst>
              <a:ext uri="{FF2B5EF4-FFF2-40B4-BE49-F238E27FC236}">
                <a16:creationId xmlns:a16="http://schemas.microsoft.com/office/drawing/2014/main" id="{C982CCBA-B3AF-4B4C-AF3F-DC5B1070EEA9}"/>
              </a:ext>
            </a:extLst>
          </xdr:cNvPr>
          <xdr:cNvSpPr/>
        </xdr:nvSpPr>
        <xdr:spPr>
          <a:xfrm>
            <a:off x="11241172766" y="692393"/>
            <a:ext cx="3170696" cy="288000"/>
          </a:xfrm>
          <a:prstGeom prst="roundRect">
            <a:avLst/>
          </a:prstGeom>
          <a:grpFill/>
          <a:ln w="3175" cap="flat" cmpd="sng" algn="ctr">
            <a:no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sp3d/>
          </a:bodyP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outerShdw blurRad="63500" sx="102000" sy="102000" algn="ctr" rotWithShape="0">
                    <a:prstClr val="black">
                      <a:alpha val="40000"/>
                    </a:prstClr>
                  </a:outerShdw>
                </a:effectLst>
                <a:uLnTx/>
                <a:uFillTx/>
                <a:latin typeface="Calibri" panose="020F0502020204030204" pitchFamily="34" charset="0"/>
                <a:ea typeface="Calibri" panose="020F0502020204030204" pitchFamily="34" charset="0"/>
                <a:cs typeface="Calibri" panose="020F0502020204030204" pitchFamily="34" charset="0"/>
              </a:rPr>
              <a:t>1. יידוע נושאי מידע</a:t>
            </a:r>
          </a:p>
        </xdr:txBody>
      </xdr:sp>
    </xdr:grpSp>
    <xdr:clientData/>
  </xdr:twoCellAnchor>
  <xdr:twoCellAnchor editAs="oneCell">
    <xdr:from>
      <xdr:col>0</xdr:col>
      <xdr:colOff>266700</xdr:colOff>
      <xdr:row>1</xdr:row>
      <xdr:rowOff>9525</xdr:rowOff>
    </xdr:from>
    <xdr:to>
      <xdr:col>1</xdr:col>
      <xdr:colOff>424925</xdr:colOff>
      <xdr:row>2</xdr:row>
      <xdr:rowOff>58425</xdr:rowOff>
    </xdr:to>
    <xdr:pic>
      <xdr:nvPicPr>
        <xdr:cNvPr id="16" name="תמונה 15">
          <a:hlinkClick xmlns:r="http://schemas.openxmlformats.org/officeDocument/2006/relationships" r:id="rId13"/>
          <a:extLst>
            <a:ext uri="{FF2B5EF4-FFF2-40B4-BE49-F238E27FC236}">
              <a16:creationId xmlns:a16="http://schemas.microsoft.com/office/drawing/2014/main" id="{4994233C-A632-4CC6-B8AF-08F4B566B4C8}"/>
            </a:ext>
          </a:extLst>
        </xdr:cNvPr>
        <xdr:cNvPicPr>
          <a:picLocks noChangeAspect="1" noChangeArrowheads="1"/>
        </xdr:cNvPicPr>
      </xdr:nvPicPr>
      <xdr:blipFill>
        <a:blip xmlns:r="http://schemas.openxmlformats.org/officeDocument/2006/relationships" r:embed="rId14" cstate="print">
          <a:duotone>
            <a:prstClr val="black"/>
            <a:srgbClr val="5B9BD5">
              <a:tint val="45000"/>
              <a:satMod val="400000"/>
            </a:srgbClr>
          </a:duotone>
          <a:extLst>
            <a:ext uri="{28A0092B-C50C-407E-A947-70E740481C1C}">
              <a14:useLocalDpi xmlns:a14="http://schemas.microsoft.com/office/drawing/2010/main" val="0"/>
            </a:ext>
          </a:extLst>
        </a:blip>
        <a:srcRect/>
        <a:stretch>
          <a:fillRect/>
        </a:stretch>
      </xdr:blipFill>
      <xdr:spPr bwMode="auto">
        <a:xfrm>
          <a:off x="11243894725" y="190500"/>
          <a:ext cx="434450" cy="44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261938</xdr:colOff>
      <xdr:row>3</xdr:row>
      <xdr:rowOff>168519</xdr:rowOff>
    </xdr:from>
    <xdr:to>
      <xdr:col>4</xdr:col>
      <xdr:colOff>727534</xdr:colOff>
      <xdr:row>24</xdr:row>
      <xdr:rowOff>20384</xdr:rowOff>
    </xdr:to>
    <xdr:grpSp>
      <xdr:nvGrpSpPr>
        <xdr:cNvPr id="2" name="קבוצה 1">
          <a:extLst>
            <a:ext uri="{FF2B5EF4-FFF2-40B4-BE49-F238E27FC236}">
              <a16:creationId xmlns:a16="http://schemas.microsoft.com/office/drawing/2014/main" id="{A23647BB-45B5-4167-A990-0A5224DF8DB0}"/>
            </a:ext>
          </a:extLst>
        </xdr:cNvPr>
        <xdr:cNvGrpSpPr/>
      </xdr:nvGrpSpPr>
      <xdr:grpSpPr>
        <a:xfrm>
          <a:off x="11237429441" y="1035294"/>
          <a:ext cx="3170696" cy="4633415"/>
          <a:chOff x="11237429441" y="892419"/>
          <a:chExt cx="3170696" cy="4042865"/>
        </a:xfrm>
        <a:solidFill>
          <a:schemeClr val="accent5">
            <a:lumMod val="40000"/>
            <a:lumOff val="60000"/>
          </a:schemeClr>
        </a:solidFill>
      </xdr:grpSpPr>
      <xdr:sp macro="" textlink="">
        <xdr:nvSpPr>
          <xdr:cNvPr id="16" name="מלבן: פינות מעוגלות 15">
            <a:hlinkClick xmlns:r="http://schemas.openxmlformats.org/officeDocument/2006/relationships" r:id="rId1"/>
            <a:extLst>
              <a:ext uri="{FF2B5EF4-FFF2-40B4-BE49-F238E27FC236}">
                <a16:creationId xmlns:a16="http://schemas.microsoft.com/office/drawing/2014/main" id="{B5415312-0FD6-4C77-B822-E3B977D06C02}"/>
              </a:ext>
            </a:extLst>
          </xdr:cNvPr>
          <xdr:cNvSpPr/>
        </xdr:nvSpPr>
        <xdr:spPr>
          <a:xfrm>
            <a:off x="11237429441" y="1205324"/>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2. הסכמה </a:t>
            </a:r>
          </a:p>
        </xdr:txBody>
      </xdr:sp>
      <xdr:sp macro="" textlink="">
        <xdr:nvSpPr>
          <xdr:cNvPr id="17" name="מלבן: פינות מעוגלות 16">
            <a:hlinkClick xmlns:r="http://schemas.openxmlformats.org/officeDocument/2006/relationships" r:id="rId2"/>
            <a:extLst>
              <a:ext uri="{FF2B5EF4-FFF2-40B4-BE49-F238E27FC236}">
                <a16:creationId xmlns:a16="http://schemas.microsoft.com/office/drawing/2014/main" id="{C91E7D9D-9A19-4150-B217-3AFEFF422EBA}"/>
              </a:ext>
            </a:extLst>
          </xdr:cNvPr>
          <xdr:cNvSpPr/>
        </xdr:nvSpPr>
        <xdr:spPr>
          <a:xfrm>
            <a:off x="11237429441" y="151822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2.1 סוגיות נוספות לבחינה בהתאם להמלצות הרשות</a:t>
            </a:r>
          </a:p>
        </xdr:txBody>
      </xdr:sp>
      <xdr:sp macro="" textlink="">
        <xdr:nvSpPr>
          <xdr:cNvPr id="18" name="מלבן: פינות מעוגלות 17">
            <a:hlinkClick xmlns:r="http://schemas.openxmlformats.org/officeDocument/2006/relationships" r:id="rId3"/>
            <a:extLst>
              <a:ext uri="{FF2B5EF4-FFF2-40B4-BE49-F238E27FC236}">
                <a16:creationId xmlns:a16="http://schemas.microsoft.com/office/drawing/2014/main" id="{83CB3900-C0BB-4472-898B-9EB336647BD5}"/>
              </a:ext>
            </a:extLst>
          </xdr:cNvPr>
          <xdr:cNvSpPr/>
        </xdr:nvSpPr>
        <xdr:spPr>
          <a:xfrm>
            <a:off x="11237429441" y="1831134"/>
            <a:ext cx="3170696" cy="288000"/>
          </a:xfrm>
          <a:prstGeom prst="roundRect">
            <a:avLst/>
          </a:prstGeom>
          <a:grpFill/>
          <a:ln w="12700" cap="flat" cmpd="sng" algn="ctr">
            <a:solidFill>
              <a:srgbClr val="4472C4">
                <a:shade val="50000"/>
              </a:srgbClr>
            </a:solidFill>
            <a:prstDash val="solid"/>
            <a:miter lim="800000"/>
          </a:ln>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3. עיבוד, צמידות מטרה וצמצום מידע</a:t>
            </a:r>
          </a:p>
        </xdr:txBody>
      </xdr:sp>
      <xdr:sp macro="" textlink="">
        <xdr:nvSpPr>
          <xdr:cNvPr id="19" name="מלבן: פינות מעוגלות 18">
            <a:hlinkClick xmlns:r="http://schemas.openxmlformats.org/officeDocument/2006/relationships" r:id="rId4"/>
            <a:extLst>
              <a:ext uri="{FF2B5EF4-FFF2-40B4-BE49-F238E27FC236}">
                <a16:creationId xmlns:a16="http://schemas.microsoft.com/office/drawing/2014/main" id="{3546899C-3F7F-49CF-A3C7-09EEA5788A09}"/>
              </a:ext>
            </a:extLst>
          </xdr:cNvPr>
          <xdr:cNvSpPr/>
        </xdr:nvSpPr>
        <xdr:spPr>
          <a:xfrm>
            <a:off x="11237429441" y="2144039"/>
            <a:ext cx="3170696" cy="288000"/>
          </a:xfrm>
          <a:prstGeom prst="roundRect">
            <a:avLst/>
          </a:prstGeom>
          <a:grpFill/>
          <a:ln w="12700" cap="flat" cmpd="sng" algn="ctr">
            <a:solidFill>
              <a:srgbClr val="4472C4">
                <a:shade val="50000"/>
              </a:srgbClr>
            </a:solidFill>
            <a:prstDash val="solid"/>
            <a:miter lim="800000"/>
          </a:ln>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4. אבטחת מידע</a:t>
            </a:r>
          </a:p>
        </xdr:txBody>
      </xdr:sp>
      <xdr:sp macro="" textlink="">
        <xdr:nvSpPr>
          <xdr:cNvPr id="20" name="מלבן: פינות מעוגלות 19">
            <a:hlinkClick xmlns:r="http://schemas.openxmlformats.org/officeDocument/2006/relationships" r:id="rId5"/>
            <a:extLst>
              <a:ext uri="{FF2B5EF4-FFF2-40B4-BE49-F238E27FC236}">
                <a16:creationId xmlns:a16="http://schemas.microsoft.com/office/drawing/2014/main" id="{4A0F39F4-1A97-4E83-9194-AAB1C003B439}"/>
              </a:ext>
            </a:extLst>
          </xdr:cNvPr>
          <xdr:cNvSpPr/>
        </xdr:nvSpPr>
        <xdr:spPr>
          <a:xfrm>
            <a:off x="11237429441" y="2456944"/>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4.1 סעיפי חובה במסמך הגדרות מאגר</a:t>
            </a:r>
          </a:p>
        </xdr:txBody>
      </xdr:sp>
      <xdr:sp macro="" textlink="">
        <xdr:nvSpPr>
          <xdr:cNvPr id="21" name="מלבן: פינות מעוגלות 20">
            <a:hlinkClick xmlns:r="http://schemas.openxmlformats.org/officeDocument/2006/relationships" r:id="rId6"/>
            <a:extLst>
              <a:ext uri="{FF2B5EF4-FFF2-40B4-BE49-F238E27FC236}">
                <a16:creationId xmlns:a16="http://schemas.microsoft.com/office/drawing/2014/main" id="{89EEDF3B-DF07-43A3-90F1-61B0891CA390}"/>
              </a:ext>
            </a:extLst>
          </xdr:cNvPr>
          <xdr:cNvSpPr/>
        </xdr:nvSpPr>
        <xdr:spPr>
          <a:xfrm>
            <a:off x="11237429441" y="276984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5. בקרה שוטפת</a:t>
            </a:r>
          </a:p>
        </xdr:txBody>
      </xdr:sp>
      <xdr:sp macro="" textlink="">
        <xdr:nvSpPr>
          <xdr:cNvPr id="22" name="מלבן: פינות מעוגלות 21">
            <a:hlinkClick xmlns:r="http://schemas.openxmlformats.org/officeDocument/2006/relationships" r:id="rId7"/>
            <a:extLst>
              <a:ext uri="{FF2B5EF4-FFF2-40B4-BE49-F238E27FC236}">
                <a16:creationId xmlns:a16="http://schemas.microsoft.com/office/drawing/2014/main" id="{450FE91C-56D3-4422-B0A7-99692A036273}"/>
              </a:ext>
            </a:extLst>
          </xdr:cNvPr>
          <xdr:cNvSpPr/>
        </xdr:nvSpPr>
        <xdr:spPr>
          <a:xfrm>
            <a:off x="11237429441" y="3082754"/>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5.1 תיקון ליקויים</a:t>
            </a:r>
          </a:p>
        </xdr:txBody>
      </xdr:sp>
      <xdr:sp macro="" textlink="">
        <xdr:nvSpPr>
          <xdr:cNvPr id="23" name="מלבן: פינות מעוגלות 22">
            <a:hlinkClick xmlns:r="http://schemas.openxmlformats.org/officeDocument/2006/relationships" r:id="rId8"/>
            <a:extLst>
              <a:ext uri="{FF2B5EF4-FFF2-40B4-BE49-F238E27FC236}">
                <a16:creationId xmlns:a16="http://schemas.microsoft.com/office/drawing/2014/main" id="{83EA4074-1BDB-49B0-8E0C-36FC49E8C47F}"/>
              </a:ext>
            </a:extLst>
          </xdr:cNvPr>
          <xdr:cNvSpPr/>
        </xdr:nvSpPr>
        <xdr:spPr>
          <a:xfrm>
            <a:off x="11237429441" y="339565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6. רישום והודעה על מאגרי מידע</a:t>
            </a:r>
          </a:p>
        </xdr:txBody>
      </xdr:sp>
      <xdr:sp macro="" textlink="">
        <xdr:nvSpPr>
          <xdr:cNvPr id="24" name="מלבן: פינות מעוגלות 23">
            <a:extLst>
              <a:ext uri="{FF2B5EF4-FFF2-40B4-BE49-F238E27FC236}">
                <a16:creationId xmlns:a16="http://schemas.microsoft.com/office/drawing/2014/main" id="{39665956-6D1D-48B6-80D5-B29490D3B6A7}"/>
              </a:ext>
            </a:extLst>
          </xdr:cNvPr>
          <xdr:cNvSpPr/>
        </xdr:nvSpPr>
        <xdr:spPr>
          <a:xfrm>
            <a:off x="11237429441" y="3708564"/>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1"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7. דיוור ישיר (אנחנו כאן)</a:t>
            </a:r>
          </a:p>
        </xdr:txBody>
      </xdr:sp>
      <xdr:sp macro="" textlink="">
        <xdr:nvSpPr>
          <xdr:cNvPr id="25" name="מלבן: פינות מעוגלות 24">
            <a:hlinkClick xmlns:r="http://schemas.openxmlformats.org/officeDocument/2006/relationships" r:id="rId9"/>
            <a:extLst>
              <a:ext uri="{FF2B5EF4-FFF2-40B4-BE49-F238E27FC236}">
                <a16:creationId xmlns:a16="http://schemas.microsoft.com/office/drawing/2014/main" id="{29585471-3710-4315-9C31-4FC44F9FFFBF}"/>
              </a:ext>
            </a:extLst>
          </xdr:cNvPr>
          <xdr:cNvSpPr/>
        </xdr:nvSpPr>
        <xdr:spPr>
          <a:xfrm>
            <a:off x="11237429441" y="402146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8. הדרכת עובדים</a:t>
            </a:r>
          </a:p>
        </xdr:txBody>
      </xdr:sp>
      <xdr:sp macro="" textlink="">
        <xdr:nvSpPr>
          <xdr:cNvPr id="26" name="מלבן: פינות מעוגלות 25">
            <a:hlinkClick xmlns:r="http://schemas.openxmlformats.org/officeDocument/2006/relationships" r:id="rId10"/>
            <a:extLst>
              <a:ext uri="{FF2B5EF4-FFF2-40B4-BE49-F238E27FC236}">
                <a16:creationId xmlns:a16="http://schemas.microsoft.com/office/drawing/2014/main" id="{2B2017AE-5F6B-4BDE-9E38-24E3B96368F3}"/>
              </a:ext>
            </a:extLst>
          </xdr:cNvPr>
          <xdr:cNvSpPr/>
        </xdr:nvSpPr>
        <xdr:spPr>
          <a:xfrm>
            <a:off x="11237429441" y="4334374"/>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9. טיפול בפניות</a:t>
            </a:r>
          </a:p>
        </xdr:txBody>
      </xdr:sp>
      <xdr:sp macro="" textlink="">
        <xdr:nvSpPr>
          <xdr:cNvPr id="27" name="מלבן: פינות מעוגלות 26">
            <a:hlinkClick xmlns:r="http://schemas.openxmlformats.org/officeDocument/2006/relationships" r:id="rId11"/>
            <a:extLst>
              <a:ext uri="{FF2B5EF4-FFF2-40B4-BE49-F238E27FC236}">
                <a16:creationId xmlns:a16="http://schemas.microsoft.com/office/drawing/2014/main" id="{F9C1C04E-4A5E-4C54-8ACF-81335BC2C659}"/>
              </a:ext>
            </a:extLst>
          </xdr:cNvPr>
          <xdr:cNvSpPr/>
        </xdr:nvSpPr>
        <xdr:spPr>
          <a:xfrm>
            <a:off x="11237429441" y="4647284"/>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10. אחריות דירקטוריון</a:t>
            </a:r>
          </a:p>
        </xdr:txBody>
      </xdr:sp>
      <xdr:sp macro="" textlink="">
        <xdr:nvSpPr>
          <xdr:cNvPr id="28" name="מלבן: פינות מעוגלות 27">
            <a:hlinkClick xmlns:r="http://schemas.openxmlformats.org/officeDocument/2006/relationships" r:id="rId12"/>
            <a:extLst>
              <a:ext uri="{FF2B5EF4-FFF2-40B4-BE49-F238E27FC236}">
                <a16:creationId xmlns:a16="http://schemas.microsoft.com/office/drawing/2014/main" id="{31D24B0B-19BB-452D-8F7C-C2C5989130B3}"/>
              </a:ext>
            </a:extLst>
          </xdr:cNvPr>
          <xdr:cNvSpPr/>
        </xdr:nvSpPr>
        <xdr:spPr>
          <a:xfrm>
            <a:off x="11237429441" y="892419"/>
            <a:ext cx="3170696" cy="288000"/>
          </a:xfrm>
          <a:prstGeom prst="roundRect">
            <a:avLst/>
          </a:prstGeom>
          <a:grpFill/>
          <a:ln w="3175" cap="flat" cmpd="sng" algn="ctr">
            <a:no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sp3d/>
          </a:bodyP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outerShdw blurRad="63500" sx="102000" sy="102000" algn="ctr" rotWithShape="0">
                    <a:prstClr val="black">
                      <a:alpha val="40000"/>
                    </a:prstClr>
                  </a:outerShdw>
                </a:effectLst>
                <a:uLnTx/>
                <a:uFillTx/>
                <a:latin typeface="Calibri" panose="020F0502020204030204" pitchFamily="34" charset="0"/>
                <a:ea typeface="Calibri" panose="020F0502020204030204" pitchFamily="34" charset="0"/>
                <a:cs typeface="Calibri" panose="020F0502020204030204" pitchFamily="34" charset="0"/>
              </a:rPr>
              <a:t>1. יידוע נושאי מידע</a:t>
            </a:r>
          </a:p>
        </xdr:txBody>
      </xdr:sp>
    </xdr:grpSp>
    <xdr:clientData/>
  </xdr:twoCellAnchor>
  <xdr:twoCellAnchor editAs="oneCell">
    <xdr:from>
      <xdr:col>1</xdr:col>
      <xdr:colOff>19050</xdr:colOff>
      <xdr:row>1</xdr:row>
      <xdr:rowOff>200025</xdr:rowOff>
    </xdr:from>
    <xdr:to>
      <xdr:col>1</xdr:col>
      <xdr:colOff>453500</xdr:colOff>
      <xdr:row>2</xdr:row>
      <xdr:rowOff>248925</xdr:rowOff>
    </xdr:to>
    <xdr:pic>
      <xdr:nvPicPr>
        <xdr:cNvPr id="30" name="תמונה 29">
          <a:hlinkClick xmlns:r="http://schemas.openxmlformats.org/officeDocument/2006/relationships" r:id="rId13"/>
          <a:extLst>
            <a:ext uri="{FF2B5EF4-FFF2-40B4-BE49-F238E27FC236}">
              <a16:creationId xmlns:a16="http://schemas.microsoft.com/office/drawing/2014/main" id="{B466C0C3-225F-4889-911C-B5528FE78293}"/>
            </a:ext>
          </a:extLst>
        </xdr:cNvPr>
        <xdr:cNvPicPr>
          <a:picLocks noChangeAspect="1" noChangeArrowheads="1"/>
        </xdr:cNvPicPr>
      </xdr:nvPicPr>
      <xdr:blipFill>
        <a:blip xmlns:r="http://schemas.openxmlformats.org/officeDocument/2006/relationships" r:embed="rId14" cstate="print">
          <a:duotone>
            <a:prstClr val="black"/>
            <a:srgbClr val="5B9BD5">
              <a:tint val="45000"/>
              <a:satMod val="400000"/>
            </a:srgbClr>
          </a:duotone>
          <a:extLst>
            <a:ext uri="{28A0092B-C50C-407E-A947-70E740481C1C}">
              <a14:useLocalDpi xmlns:a14="http://schemas.microsoft.com/office/drawing/2010/main" val="0"/>
            </a:ext>
          </a:extLst>
        </a:blip>
        <a:srcRect/>
        <a:stretch>
          <a:fillRect/>
        </a:stretch>
      </xdr:blipFill>
      <xdr:spPr bwMode="auto">
        <a:xfrm>
          <a:off x="11240132350" y="381000"/>
          <a:ext cx="434450" cy="44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23813</xdr:colOff>
      <xdr:row>2</xdr:row>
      <xdr:rowOff>178044</xdr:rowOff>
    </xdr:from>
    <xdr:to>
      <xdr:col>4</xdr:col>
      <xdr:colOff>765634</xdr:colOff>
      <xdr:row>19</xdr:row>
      <xdr:rowOff>96584</xdr:rowOff>
    </xdr:to>
    <xdr:grpSp>
      <xdr:nvGrpSpPr>
        <xdr:cNvPr id="2" name="קבוצה 1">
          <a:extLst>
            <a:ext uri="{FF2B5EF4-FFF2-40B4-BE49-F238E27FC236}">
              <a16:creationId xmlns:a16="http://schemas.microsoft.com/office/drawing/2014/main" id="{9F0C2F4C-DC55-4905-93A0-143CAF36D9C2}"/>
            </a:ext>
          </a:extLst>
        </xdr:cNvPr>
        <xdr:cNvGrpSpPr/>
      </xdr:nvGrpSpPr>
      <xdr:grpSpPr>
        <a:xfrm>
          <a:off x="11237896166" y="778119"/>
          <a:ext cx="3170696" cy="4719140"/>
          <a:chOff x="11237896166" y="682869"/>
          <a:chExt cx="3170696" cy="4109540"/>
        </a:xfrm>
        <a:solidFill>
          <a:schemeClr val="accent5">
            <a:lumMod val="40000"/>
            <a:lumOff val="60000"/>
          </a:schemeClr>
        </a:solidFill>
      </xdr:grpSpPr>
      <xdr:sp macro="" textlink="">
        <xdr:nvSpPr>
          <xdr:cNvPr id="44" name="מלבן: פינות מעוגלות 43">
            <a:hlinkClick xmlns:r="http://schemas.openxmlformats.org/officeDocument/2006/relationships" r:id="rId1"/>
            <a:extLst>
              <a:ext uri="{FF2B5EF4-FFF2-40B4-BE49-F238E27FC236}">
                <a16:creationId xmlns:a16="http://schemas.microsoft.com/office/drawing/2014/main" id="{B62E33DC-489E-449C-A15F-CA70F753572B}"/>
              </a:ext>
            </a:extLst>
          </xdr:cNvPr>
          <xdr:cNvSpPr/>
        </xdr:nvSpPr>
        <xdr:spPr>
          <a:xfrm>
            <a:off x="11237896166" y="1001331"/>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2. הסכמה </a:t>
            </a:r>
          </a:p>
        </xdr:txBody>
      </xdr:sp>
      <xdr:sp macro="" textlink="">
        <xdr:nvSpPr>
          <xdr:cNvPr id="45" name="מלבן: פינות מעוגלות 44">
            <a:hlinkClick xmlns:r="http://schemas.openxmlformats.org/officeDocument/2006/relationships" r:id="rId2"/>
            <a:extLst>
              <a:ext uri="{FF2B5EF4-FFF2-40B4-BE49-F238E27FC236}">
                <a16:creationId xmlns:a16="http://schemas.microsoft.com/office/drawing/2014/main" id="{B3523C70-5E85-48EB-B575-604A7E0C8E70}"/>
              </a:ext>
            </a:extLst>
          </xdr:cNvPr>
          <xdr:cNvSpPr/>
        </xdr:nvSpPr>
        <xdr:spPr>
          <a:xfrm>
            <a:off x="11237896166" y="1319793"/>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2.1 סוגיות נוזפות לבחינה בהתאם להמלצות הרשות</a:t>
            </a:r>
          </a:p>
        </xdr:txBody>
      </xdr:sp>
      <xdr:sp macro="" textlink="">
        <xdr:nvSpPr>
          <xdr:cNvPr id="46" name="מלבן: פינות מעוגלות 45">
            <a:hlinkClick xmlns:r="http://schemas.openxmlformats.org/officeDocument/2006/relationships" r:id="rId3"/>
            <a:extLst>
              <a:ext uri="{FF2B5EF4-FFF2-40B4-BE49-F238E27FC236}">
                <a16:creationId xmlns:a16="http://schemas.microsoft.com/office/drawing/2014/main" id="{F54ADDFD-2887-4D94-BFF7-2DEF3DF185AC}"/>
              </a:ext>
            </a:extLst>
          </xdr:cNvPr>
          <xdr:cNvSpPr/>
        </xdr:nvSpPr>
        <xdr:spPr>
          <a:xfrm>
            <a:off x="11237896166" y="1638255"/>
            <a:ext cx="3170696" cy="288000"/>
          </a:xfrm>
          <a:prstGeom prst="roundRect">
            <a:avLst/>
          </a:prstGeom>
          <a:grpFill/>
          <a:ln w="12700" cap="flat" cmpd="sng" algn="ctr">
            <a:solidFill>
              <a:srgbClr val="4472C4">
                <a:shade val="50000"/>
              </a:srgbClr>
            </a:solidFill>
            <a:prstDash val="solid"/>
            <a:miter lim="800000"/>
          </a:ln>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3. עיבוד, צמידות מטרה וצמצום מידע</a:t>
            </a:r>
          </a:p>
        </xdr:txBody>
      </xdr:sp>
      <xdr:sp macro="" textlink="">
        <xdr:nvSpPr>
          <xdr:cNvPr id="47" name="מלבן: פינות מעוגלות 46">
            <a:hlinkClick xmlns:r="http://schemas.openxmlformats.org/officeDocument/2006/relationships" r:id="rId4"/>
            <a:extLst>
              <a:ext uri="{FF2B5EF4-FFF2-40B4-BE49-F238E27FC236}">
                <a16:creationId xmlns:a16="http://schemas.microsoft.com/office/drawing/2014/main" id="{61F5D112-DADD-473F-BB93-E7394D33A643}"/>
              </a:ext>
            </a:extLst>
          </xdr:cNvPr>
          <xdr:cNvSpPr/>
        </xdr:nvSpPr>
        <xdr:spPr>
          <a:xfrm>
            <a:off x="11237896166" y="1956717"/>
            <a:ext cx="3170696" cy="288000"/>
          </a:xfrm>
          <a:prstGeom prst="roundRect">
            <a:avLst/>
          </a:prstGeom>
          <a:grpFill/>
          <a:ln w="12700" cap="flat" cmpd="sng" algn="ctr">
            <a:solidFill>
              <a:srgbClr val="4472C4">
                <a:shade val="50000"/>
              </a:srgbClr>
            </a:solidFill>
            <a:prstDash val="solid"/>
            <a:miter lim="800000"/>
          </a:ln>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4. אבטחת מידע</a:t>
            </a:r>
          </a:p>
        </xdr:txBody>
      </xdr:sp>
      <xdr:sp macro="" textlink="">
        <xdr:nvSpPr>
          <xdr:cNvPr id="48" name="מלבן: פינות מעוגלות 47">
            <a:hlinkClick xmlns:r="http://schemas.openxmlformats.org/officeDocument/2006/relationships" r:id="rId5"/>
            <a:extLst>
              <a:ext uri="{FF2B5EF4-FFF2-40B4-BE49-F238E27FC236}">
                <a16:creationId xmlns:a16="http://schemas.microsoft.com/office/drawing/2014/main" id="{9DADFB3C-4904-4FD4-A91E-0CDFE96C3A29}"/>
              </a:ext>
            </a:extLst>
          </xdr:cNvPr>
          <xdr:cNvSpPr/>
        </xdr:nvSpPr>
        <xdr:spPr>
          <a:xfrm>
            <a:off x="11237896166" y="227517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4.1 סעיפי חובה במסמך הגדרות מאגר</a:t>
            </a:r>
          </a:p>
        </xdr:txBody>
      </xdr:sp>
      <xdr:sp macro="" textlink="">
        <xdr:nvSpPr>
          <xdr:cNvPr id="49" name="מלבן: פינות מעוגלות 48">
            <a:hlinkClick xmlns:r="http://schemas.openxmlformats.org/officeDocument/2006/relationships" r:id="rId6"/>
            <a:extLst>
              <a:ext uri="{FF2B5EF4-FFF2-40B4-BE49-F238E27FC236}">
                <a16:creationId xmlns:a16="http://schemas.microsoft.com/office/drawing/2014/main" id="{F14888BD-F758-4C07-8064-DFD1D92221D2}"/>
              </a:ext>
            </a:extLst>
          </xdr:cNvPr>
          <xdr:cNvSpPr/>
        </xdr:nvSpPr>
        <xdr:spPr>
          <a:xfrm>
            <a:off x="11237896166" y="2593641"/>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5. בקרה שוטפת</a:t>
            </a:r>
          </a:p>
        </xdr:txBody>
      </xdr:sp>
      <xdr:sp macro="" textlink="">
        <xdr:nvSpPr>
          <xdr:cNvPr id="50" name="מלבן: פינות מעוגלות 49">
            <a:hlinkClick xmlns:r="http://schemas.openxmlformats.org/officeDocument/2006/relationships" r:id="rId7"/>
            <a:extLst>
              <a:ext uri="{FF2B5EF4-FFF2-40B4-BE49-F238E27FC236}">
                <a16:creationId xmlns:a16="http://schemas.microsoft.com/office/drawing/2014/main" id="{33F2B57B-DD78-4748-A8FA-EDEBF61957E3}"/>
              </a:ext>
            </a:extLst>
          </xdr:cNvPr>
          <xdr:cNvSpPr/>
        </xdr:nvSpPr>
        <xdr:spPr>
          <a:xfrm>
            <a:off x="11237896166" y="2912103"/>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5.1 תיקון ליקויים</a:t>
            </a:r>
          </a:p>
        </xdr:txBody>
      </xdr:sp>
      <xdr:sp macro="" textlink="">
        <xdr:nvSpPr>
          <xdr:cNvPr id="51" name="מלבן: פינות מעוגלות 50">
            <a:hlinkClick xmlns:r="http://schemas.openxmlformats.org/officeDocument/2006/relationships" r:id="rId8"/>
            <a:extLst>
              <a:ext uri="{FF2B5EF4-FFF2-40B4-BE49-F238E27FC236}">
                <a16:creationId xmlns:a16="http://schemas.microsoft.com/office/drawing/2014/main" id="{C4DC1A9A-D757-4932-98D1-D39AEEDF2884}"/>
              </a:ext>
            </a:extLst>
          </xdr:cNvPr>
          <xdr:cNvSpPr/>
        </xdr:nvSpPr>
        <xdr:spPr>
          <a:xfrm>
            <a:off x="11237896166" y="3230565"/>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6. רישום והודעה על מאגרי מידע</a:t>
            </a:r>
          </a:p>
        </xdr:txBody>
      </xdr:sp>
      <xdr:sp macro="" textlink="">
        <xdr:nvSpPr>
          <xdr:cNvPr id="52" name="מלבן: פינות מעוגלות 51">
            <a:hlinkClick xmlns:r="http://schemas.openxmlformats.org/officeDocument/2006/relationships" r:id="rId9"/>
            <a:extLst>
              <a:ext uri="{FF2B5EF4-FFF2-40B4-BE49-F238E27FC236}">
                <a16:creationId xmlns:a16="http://schemas.microsoft.com/office/drawing/2014/main" id="{D1150F49-7A0E-4BAF-821E-1841B66F81D0}"/>
              </a:ext>
            </a:extLst>
          </xdr:cNvPr>
          <xdr:cNvSpPr/>
        </xdr:nvSpPr>
        <xdr:spPr>
          <a:xfrm>
            <a:off x="11237896166" y="3549027"/>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7. דיוור ישיר</a:t>
            </a:r>
          </a:p>
        </xdr:txBody>
      </xdr:sp>
      <xdr:sp macro="" textlink="">
        <xdr:nvSpPr>
          <xdr:cNvPr id="53" name="מלבן: פינות מעוגלות 52">
            <a:extLst>
              <a:ext uri="{FF2B5EF4-FFF2-40B4-BE49-F238E27FC236}">
                <a16:creationId xmlns:a16="http://schemas.microsoft.com/office/drawing/2014/main" id="{8F60D4F5-7F64-4A72-97FC-B6F7FE8DE272}"/>
              </a:ext>
            </a:extLst>
          </xdr:cNvPr>
          <xdr:cNvSpPr/>
        </xdr:nvSpPr>
        <xdr:spPr>
          <a:xfrm>
            <a:off x="11237896166" y="386748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1"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8. הדרכת עובדים (אנחנו כאן)</a:t>
            </a:r>
          </a:p>
        </xdr:txBody>
      </xdr:sp>
      <xdr:sp macro="" textlink="">
        <xdr:nvSpPr>
          <xdr:cNvPr id="54" name="מלבן: פינות מעוגלות 53">
            <a:hlinkClick xmlns:r="http://schemas.openxmlformats.org/officeDocument/2006/relationships" r:id="rId10"/>
            <a:extLst>
              <a:ext uri="{FF2B5EF4-FFF2-40B4-BE49-F238E27FC236}">
                <a16:creationId xmlns:a16="http://schemas.microsoft.com/office/drawing/2014/main" id="{DD608E3B-C228-40EE-A5C2-0AE26A5C798C}"/>
              </a:ext>
            </a:extLst>
          </xdr:cNvPr>
          <xdr:cNvSpPr/>
        </xdr:nvSpPr>
        <xdr:spPr>
          <a:xfrm>
            <a:off x="11237896166" y="4185951"/>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9. טיפול בפניות</a:t>
            </a:r>
          </a:p>
        </xdr:txBody>
      </xdr:sp>
      <xdr:sp macro="" textlink="">
        <xdr:nvSpPr>
          <xdr:cNvPr id="55" name="מלבן: פינות מעוגלות 54">
            <a:hlinkClick xmlns:r="http://schemas.openxmlformats.org/officeDocument/2006/relationships" r:id="rId11"/>
            <a:extLst>
              <a:ext uri="{FF2B5EF4-FFF2-40B4-BE49-F238E27FC236}">
                <a16:creationId xmlns:a16="http://schemas.microsoft.com/office/drawing/2014/main" id="{F9D2C2D7-F457-4AB4-A924-AAD426D8F2BC}"/>
              </a:ext>
            </a:extLst>
          </xdr:cNvPr>
          <xdr:cNvSpPr/>
        </xdr:nvSpPr>
        <xdr:spPr>
          <a:xfrm>
            <a:off x="11237896166" y="450440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10. אחריות דירקטוריון</a:t>
            </a:r>
          </a:p>
        </xdr:txBody>
      </xdr:sp>
      <xdr:sp macro="" textlink="">
        <xdr:nvSpPr>
          <xdr:cNvPr id="56" name="מלבן: פינות מעוגלות 55">
            <a:hlinkClick xmlns:r="http://schemas.openxmlformats.org/officeDocument/2006/relationships" r:id="rId12"/>
            <a:extLst>
              <a:ext uri="{FF2B5EF4-FFF2-40B4-BE49-F238E27FC236}">
                <a16:creationId xmlns:a16="http://schemas.microsoft.com/office/drawing/2014/main" id="{0D823072-9EDA-4FF6-A5F9-2605C114B0EE}"/>
              </a:ext>
            </a:extLst>
          </xdr:cNvPr>
          <xdr:cNvSpPr/>
        </xdr:nvSpPr>
        <xdr:spPr>
          <a:xfrm>
            <a:off x="11237896166" y="682869"/>
            <a:ext cx="3170696" cy="288000"/>
          </a:xfrm>
          <a:prstGeom prst="roundRect">
            <a:avLst/>
          </a:prstGeom>
          <a:grpFill/>
          <a:ln w="3175" cap="flat" cmpd="sng" algn="ctr">
            <a:no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sp3d/>
          </a:bodyP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outerShdw blurRad="63500" sx="102000" sy="102000" algn="ctr" rotWithShape="0">
                    <a:prstClr val="black">
                      <a:alpha val="40000"/>
                    </a:prstClr>
                  </a:outerShdw>
                </a:effectLst>
                <a:uLnTx/>
                <a:uFillTx/>
                <a:latin typeface="Calibri" panose="020F0502020204030204" pitchFamily="34" charset="0"/>
                <a:ea typeface="Calibri" panose="020F0502020204030204" pitchFamily="34" charset="0"/>
                <a:cs typeface="Calibri" panose="020F0502020204030204" pitchFamily="34" charset="0"/>
              </a:rPr>
              <a:t>1. יידוע נושאי מידע</a:t>
            </a:r>
          </a:p>
        </xdr:txBody>
      </xdr:sp>
    </xdr:grpSp>
    <xdr:clientData/>
  </xdr:twoCellAnchor>
  <xdr:twoCellAnchor editAs="oneCell">
    <xdr:from>
      <xdr:col>1</xdr:col>
      <xdr:colOff>66675</xdr:colOff>
      <xdr:row>1</xdr:row>
      <xdr:rowOff>28575</xdr:rowOff>
    </xdr:from>
    <xdr:to>
      <xdr:col>1</xdr:col>
      <xdr:colOff>501125</xdr:colOff>
      <xdr:row>2</xdr:row>
      <xdr:rowOff>77475</xdr:rowOff>
    </xdr:to>
    <xdr:pic>
      <xdr:nvPicPr>
        <xdr:cNvPr id="16" name="תמונה 15">
          <a:hlinkClick xmlns:r="http://schemas.openxmlformats.org/officeDocument/2006/relationships" r:id="rId13"/>
          <a:extLst>
            <a:ext uri="{FF2B5EF4-FFF2-40B4-BE49-F238E27FC236}">
              <a16:creationId xmlns:a16="http://schemas.microsoft.com/office/drawing/2014/main" id="{F3D7DFF0-36C1-4A34-835F-B19780F22975}"/>
            </a:ext>
          </a:extLst>
        </xdr:cNvPr>
        <xdr:cNvPicPr>
          <a:picLocks noChangeAspect="1" noChangeArrowheads="1"/>
        </xdr:cNvPicPr>
      </xdr:nvPicPr>
      <xdr:blipFill>
        <a:blip xmlns:r="http://schemas.openxmlformats.org/officeDocument/2006/relationships" r:embed="rId14" cstate="print">
          <a:duotone>
            <a:prstClr val="black"/>
            <a:srgbClr val="5B9BD5">
              <a:tint val="45000"/>
              <a:satMod val="400000"/>
            </a:srgbClr>
          </a:duotone>
          <a:extLst>
            <a:ext uri="{28A0092B-C50C-407E-A947-70E740481C1C}">
              <a14:useLocalDpi xmlns:a14="http://schemas.microsoft.com/office/drawing/2010/main" val="0"/>
            </a:ext>
          </a:extLst>
        </a:blip>
        <a:srcRect/>
        <a:stretch>
          <a:fillRect/>
        </a:stretch>
      </xdr:blipFill>
      <xdr:spPr bwMode="auto">
        <a:xfrm>
          <a:off x="11240589550" y="209550"/>
          <a:ext cx="434450" cy="44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9525</xdr:colOff>
      <xdr:row>2</xdr:row>
      <xdr:rowOff>168519</xdr:rowOff>
    </xdr:from>
    <xdr:to>
      <xdr:col>4</xdr:col>
      <xdr:colOff>751346</xdr:colOff>
      <xdr:row>23</xdr:row>
      <xdr:rowOff>87059</xdr:rowOff>
    </xdr:to>
    <xdr:grpSp>
      <xdr:nvGrpSpPr>
        <xdr:cNvPr id="2" name="קבוצה 1">
          <a:extLst>
            <a:ext uri="{FF2B5EF4-FFF2-40B4-BE49-F238E27FC236}">
              <a16:creationId xmlns:a16="http://schemas.microsoft.com/office/drawing/2014/main" id="{87A9CBBF-D872-4F88-B5E9-A1C59D7E618B}"/>
            </a:ext>
          </a:extLst>
        </xdr:cNvPr>
        <xdr:cNvGrpSpPr/>
      </xdr:nvGrpSpPr>
      <xdr:grpSpPr>
        <a:xfrm>
          <a:off x="11274657904" y="771769"/>
          <a:ext cx="3186571" cy="4543457"/>
          <a:chOff x="11239977379" y="673344"/>
          <a:chExt cx="3170696" cy="4109540"/>
        </a:xfrm>
        <a:solidFill>
          <a:schemeClr val="accent5">
            <a:lumMod val="40000"/>
            <a:lumOff val="60000"/>
          </a:schemeClr>
        </a:solidFill>
      </xdr:grpSpPr>
      <xdr:sp macro="" textlink="">
        <xdr:nvSpPr>
          <xdr:cNvPr id="17" name="מלבן: פינות מעוגלות 16">
            <a:hlinkClick xmlns:r="http://schemas.openxmlformats.org/officeDocument/2006/relationships" r:id="rId1"/>
            <a:extLst>
              <a:ext uri="{FF2B5EF4-FFF2-40B4-BE49-F238E27FC236}">
                <a16:creationId xmlns:a16="http://schemas.microsoft.com/office/drawing/2014/main" id="{9A4DB366-054D-4CD9-BE6B-906B8A0F55CE}"/>
              </a:ext>
            </a:extLst>
          </xdr:cNvPr>
          <xdr:cNvSpPr/>
        </xdr:nvSpPr>
        <xdr:spPr>
          <a:xfrm>
            <a:off x="11239977379" y="991806"/>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2. הסכמה</a:t>
            </a:r>
          </a:p>
        </xdr:txBody>
      </xdr:sp>
      <xdr:sp macro="" textlink="">
        <xdr:nvSpPr>
          <xdr:cNvPr id="18" name="מלבן: פינות מעוגלות 17">
            <a:hlinkClick xmlns:r="http://schemas.openxmlformats.org/officeDocument/2006/relationships" r:id="rId2"/>
            <a:extLst>
              <a:ext uri="{FF2B5EF4-FFF2-40B4-BE49-F238E27FC236}">
                <a16:creationId xmlns:a16="http://schemas.microsoft.com/office/drawing/2014/main" id="{CA045BFC-E0A6-4DEB-90D8-A262BD4963AD}"/>
              </a:ext>
            </a:extLst>
          </xdr:cNvPr>
          <xdr:cNvSpPr/>
        </xdr:nvSpPr>
        <xdr:spPr>
          <a:xfrm>
            <a:off x="11239977379" y="1310268"/>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2.1 סוגיות נוספות לבחינה בהתאם להמלצות הרשות</a:t>
            </a:r>
          </a:p>
        </xdr:txBody>
      </xdr:sp>
      <xdr:sp macro="" textlink="">
        <xdr:nvSpPr>
          <xdr:cNvPr id="19" name="מלבן: פינות מעוגלות 18">
            <a:hlinkClick xmlns:r="http://schemas.openxmlformats.org/officeDocument/2006/relationships" r:id="rId3"/>
            <a:extLst>
              <a:ext uri="{FF2B5EF4-FFF2-40B4-BE49-F238E27FC236}">
                <a16:creationId xmlns:a16="http://schemas.microsoft.com/office/drawing/2014/main" id="{036B3FC4-2D93-49AF-86CA-407A0DFF9291}"/>
              </a:ext>
            </a:extLst>
          </xdr:cNvPr>
          <xdr:cNvSpPr/>
        </xdr:nvSpPr>
        <xdr:spPr>
          <a:xfrm>
            <a:off x="11239977379" y="1628730"/>
            <a:ext cx="3170696" cy="288000"/>
          </a:xfrm>
          <a:prstGeom prst="roundRect">
            <a:avLst/>
          </a:prstGeom>
          <a:grpFill/>
          <a:ln w="12700" cap="flat" cmpd="sng" algn="ctr">
            <a:solidFill>
              <a:srgbClr val="4472C4">
                <a:shade val="50000"/>
              </a:srgbClr>
            </a:solidFill>
            <a:prstDash val="solid"/>
            <a:miter lim="800000"/>
          </a:ln>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3. עיבוד, צמידות מטרה וצמצום מידע</a:t>
            </a:r>
          </a:p>
        </xdr:txBody>
      </xdr:sp>
      <xdr:sp macro="" textlink="">
        <xdr:nvSpPr>
          <xdr:cNvPr id="20" name="מלבן: פינות מעוגלות 19">
            <a:hlinkClick xmlns:r="http://schemas.openxmlformats.org/officeDocument/2006/relationships" r:id="rId4"/>
            <a:extLst>
              <a:ext uri="{FF2B5EF4-FFF2-40B4-BE49-F238E27FC236}">
                <a16:creationId xmlns:a16="http://schemas.microsoft.com/office/drawing/2014/main" id="{6BF8BC54-5ECB-48B8-B6E6-8BD255583941}"/>
              </a:ext>
            </a:extLst>
          </xdr:cNvPr>
          <xdr:cNvSpPr/>
        </xdr:nvSpPr>
        <xdr:spPr>
          <a:xfrm>
            <a:off x="11239977379" y="1947192"/>
            <a:ext cx="3170696" cy="288000"/>
          </a:xfrm>
          <a:prstGeom prst="roundRect">
            <a:avLst/>
          </a:prstGeom>
          <a:grpFill/>
          <a:ln w="12700" cap="flat" cmpd="sng" algn="ctr">
            <a:solidFill>
              <a:srgbClr val="4472C4">
                <a:shade val="50000"/>
              </a:srgbClr>
            </a:solidFill>
            <a:prstDash val="solid"/>
            <a:miter lim="800000"/>
          </a:ln>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4. אבטחת מידע</a:t>
            </a:r>
          </a:p>
        </xdr:txBody>
      </xdr:sp>
      <xdr:sp macro="" textlink="">
        <xdr:nvSpPr>
          <xdr:cNvPr id="21" name="מלבן: פינות מעוגלות 20">
            <a:hlinkClick xmlns:r="http://schemas.openxmlformats.org/officeDocument/2006/relationships" r:id="rId5"/>
            <a:extLst>
              <a:ext uri="{FF2B5EF4-FFF2-40B4-BE49-F238E27FC236}">
                <a16:creationId xmlns:a16="http://schemas.microsoft.com/office/drawing/2014/main" id="{A323D9B5-F3D8-4C5F-B829-F0572646A1A9}"/>
              </a:ext>
            </a:extLst>
          </xdr:cNvPr>
          <xdr:cNvSpPr/>
        </xdr:nvSpPr>
        <xdr:spPr>
          <a:xfrm>
            <a:off x="11239977379" y="2265654"/>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4.1 סעיפי חובה במסמך הגדרות מאגר</a:t>
            </a:r>
          </a:p>
        </xdr:txBody>
      </xdr:sp>
      <xdr:sp macro="" textlink="">
        <xdr:nvSpPr>
          <xdr:cNvPr id="22" name="מלבן: פינות מעוגלות 21">
            <a:hlinkClick xmlns:r="http://schemas.openxmlformats.org/officeDocument/2006/relationships" r:id="rId6"/>
            <a:extLst>
              <a:ext uri="{FF2B5EF4-FFF2-40B4-BE49-F238E27FC236}">
                <a16:creationId xmlns:a16="http://schemas.microsoft.com/office/drawing/2014/main" id="{20CB4233-92B0-4934-B98B-673E68FB14C9}"/>
              </a:ext>
            </a:extLst>
          </xdr:cNvPr>
          <xdr:cNvSpPr/>
        </xdr:nvSpPr>
        <xdr:spPr>
          <a:xfrm>
            <a:off x="11239977379" y="2584116"/>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5. בקרה שוטפת</a:t>
            </a:r>
          </a:p>
        </xdr:txBody>
      </xdr:sp>
      <xdr:sp macro="" textlink="">
        <xdr:nvSpPr>
          <xdr:cNvPr id="23" name="מלבן: פינות מעוגלות 22">
            <a:hlinkClick xmlns:r="http://schemas.openxmlformats.org/officeDocument/2006/relationships" r:id="rId7"/>
            <a:extLst>
              <a:ext uri="{FF2B5EF4-FFF2-40B4-BE49-F238E27FC236}">
                <a16:creationId xmlns:a16="http://schemas.microsoft.com/office/drawing/2014/main" id="{F207984B-F46F-4006-84A9-B029159CBDCD}"/>
              </a:ext>
            </a:extLst>
          </xdr:cNvPr>
          <xdr:cNvSpPr/>
        </xdr:nvSpPr>
        <xdr:spPr>
          <a:xfrm>
            <a:off x="11239977379" y="2902578"/>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5.1 תיקון ליקויים</a:t>
            </a:r>
          </a:p>
        </xdr:txBody>
      </xdr:sp>
      <xdr:sp macro="" textlink="">
        <xdr:nvSpPr>
          <xdr:cNvPr id="24" name="מלבן: פינות מעוגלות 23">
            <a:hlinkClick xmlns:r="http://schemas.openxmlformats.org/officeDocument/2006/relationships" r:id="rId8"/>
            <a:extLst>
              <a:ext uri="{FF2B5EF4-FFF2-40B4-BE49-F238E27FC236}">
                <a16:creationId xmlns:a16="http://schemas.microsoft.com/office/drawing/2014/main" id="{BE615B7B-30EC-445E-88B9-466E9E3A1366}"/>
              </a:ext>
            </a:extLst>
          </xdr:cNvPr>
          <xdr:cNvSpPr/>
        </xdr:nvSpPr>
        <xdr:spPr>
          <a:xfrm>
            <a:off x="11239977379" y="3221040"/>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6. רישום והודעה על מאגרי מידע</a:t>
            </a:r>
          </a:p>
        </xdr:txBody>
      </xdr:sp>
      <xdr:sp macro="" textlink="">
        <xdr:nvSpPr>
          <xdr:cNvPr id="25" name="מלבן: פינות מעוגלות 24">
            <a:hlinkClick xmlns:r="http://schemas.openxmlformats.org/officeDocument/2006/relationships" r:id="rId9"/>
            <a:extLst>
              <a:ext uri="{FF2B5EF4-FFF2-40B4-BE49-F238E27FC236}">
                <a16:creationId xmlns:a16="http://schemas.microsoft.com/office/drawing/2014/main" id="{CF556B5A-7568-4851-9C01-AADA43E3DCF1}"/>
              </a:ext>
            </a:extLst>
          </xdr:cNvPr>
          <xdr:cNvSpPr/>
        </xdr:nvSpPr>
        <xdr:spPr>
          <a:xfrm>
            <a:off x="11239977379" y="3539502"/>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7. דיוור ישיר</a:t>
            </a:r>
          </a:p>
        </xdr:txBody>
      </xdr:sp>
      <xdr:sp macro="" textlink="">
        <xdr:nvSpPr>
          <xdr:cNvPr id="26" name="מלבן: פינות מעוגלות 25">
            <a:hlinkClick xmlns:r="http://schemas.openxmlformats.org/officeDocument/2006/relationships" r:id="rId10"/>
            <a:extLst>
              <a:ext uri="{FF2B5EF4-FFF2-40B4-BE49-F238E27FC236}">
                <a16:creationId xmlns:a16="http://schemas.microsoft.com/office/drawing/2014/main" id="{05D8F905-E370-4131-A3F4-D165DEEA8708}"/>
              </a:ext>
            </a:extLst>
          </xdr:cNvPr>
          <xdr:cNvSpPr/>
        </xdr:nvSpPr>
        <xdr:spPr>
          <a:xfrm>
            <a:off x="11239977379" y="3857964"/>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8. הדרכת עובדים</a:t>
            </a:r>
          </a:p>
        </xdr:txBody>
      </xdr:sp>
      <xdr:sp macro="" textlink="">
        <xdr:nvSpPr>
          <xdr:cNvPr id="27" name="מלבן: פינות מעוגלות 26">
            <a:extLst>
              <a:ext uri="{FF2B5EF4-FFF2-40B4-BE49-F238E27FC236}">
                <a16:creationId xmlns:a16="http://schemas.microsoft.com/office/drawing/2014/main" id="{9ED7ED7D-0388-4DF9-B56A-BB1551771BE6}"/>
              </a:ext>
            </a:extLst>
          </xdr:cNvPr>
          <xdr:cNvSpPr/>
        </xdr:nvSpPr>
        <xdr:spPr>
          <a:xfrm>
            <a:off x="11239977379" y="4176426"/>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1"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9. טיפול בפניות (אנחנו כאן)</a:t>
            </a:r>
          </a:p>
        </xdr:txBody>
      </xdr:sp>
      <xdr:sp macro="" textlink="">
        <xdr:nvSpPr>
          <xdr:cNvPr id="28" name="מלבן: פינות מעוגלות 27">
            <a:hlinkClick xmlns:r="http://schemas.openxmlformats.org/officeDocument/2006/relationships" r:id="rId11"/>
            <a:extLst>
              <a:ext uri="{FF2B5EF4-FFF2-40B4-BE49-F238E27FC236}">
                <a16:creationId xmlns:a16="http://schemas.microsoft.com/office/drawing/2014/main" id="{20BFBEB3-9508-4350-8C67-0B64E4FA3BD0}"/>
              </a:ext>
            </a:extLst>
          </xdr:cNvPr>
          <xdr:cNvSpPr/>
        </xdr:nvSpPr>
        <xdr:spPr>
          <a:xfrm>
            <a:off x="11239977379" y="4494884"/>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10. אחריות דירקטוריון</a:t>
            </a:r>
          </a:p>
        </xdr:txBody>
      </xdr:sp>
      <xdr:sp macro="" textlink="">
        <xdr:nvSpPr>
          <xdr:cNvPr id="29" name="מלבן: פינות מעוגלות 28">
            <a:hlinkClick xmlns:r="http://schemas.openxmlformats.org/officeDocument/2006/relationships" r:id="rId12"/>
            <a:extLst>
              <a:ext uri="{FF2B5EF4-FFF2-40B4-BE49-F238E27FC236}">
                <a16:creationId xmlns:a16="http://schemas.microsoft.com/office/drawing/2014/main" id="{7CD6D6EC-1175-4D23-8F69-51F39A44D8BD}"/>
              </a:ext>
            </a:extLst>
          </xdr:cNvPr>
          <xdr:cNvSpPr/>
        </xdr:nvSpPr>
        <xdr:spPr>
          <a:xfrm>
            <a:off x="11239977379" y="673344"/>
            <a:ext cx="3170696" cy="288000"/>
          </a:xfrm>
          <a:prstGeom prst="roundRect">
            <a:avLst/>
          </a:prstGeom>
          <a:grpFill/>
          <a:ln w="3175" cap="flat" cmpd="sng" algn="ctr">
            <a:no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sp3d/>
          </a:bodyP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outerShdw blurRad="63500" sx="102000" sy="102000" algn="ctr" rotWithShape="0">
                    <a:prstClr val="black">
                      <a:alpha val="40000"/>
                    </a:prstClr>
                  </a:outerShdw>
                </a:effectLst>
                <a:uLnTx/>
                <a:uFillTx/>
                <a:latin typeface="Calibri" panose="020F0502020204030204" pitchFamily="34" charset="0"/>
                <a:ea typeface="Calibri" panose="020F0502020204030204" pitchFamily="34" charset="0"/>
                <a:cs typeface="Calibri" panose="020F0502020204030204" pitchFamily="34" charset="0"/>
              </a:rPr>
              <a:t>1. יידוע נושאי מידע</a:t>
            </a:r>
          </a:p>
        </xdr:txBody>
      </xdr:sp>
    </xdr:grpSp>
    <xdr:clientData/>
  </xdr:twoCellAnchor>
  <xdr:twoCellAnchor editAs="oneCell">
    <xdr:from>
      <xdr:col>1</xdr:col>
      <xdr:colOff>66675</xdr:colOff>
      <xdr:row>0</xdr:row>
      <xdr:rowOff>171450</xdr:rowOff>
    </xdr:from>
    <xdr:to>
      <xdr:col>1</xdr:col>
      <xdr:colOff>501125</xdr:colOff>
      <xdr:row>2</xdr:row>
      <xdr:rowOff>20325</xdr:rowOff>
    </xdr:to>
    <xdr:pic>
      <xdr:nvPicPr>
        <xdr:cNvPr id="45" name="תמונה 44">
          <a:hlinkClick xmlns:r="http://schemas.openxmlformats.org/officeDocument/2006/relationships" r:id="rId13"/>
          <a:extLst>
            <a:ext uri="{FF2B5EF4-FFF2-40B4-BE49-F238E27FC236}">
              <a16:creationId xmlns:a16="http://schemas.microsoft.com/office/drawing/2014/main" id="{A47C65EB-8A9C-4F28-B859-D4544075B02D}"/>
            </a:ext>
          </a:extLst>
        </xdr:cNvPr>
        <xdr:cNvPicPr>
          <a:picLocks noChangeAspect="1" noChangeArrowheads="1"/>
        </xdr:cNvPicPr>
      </xdr:nvPicPr>
      <xdr:blipFill>
        <a:blip xmlns:r="http://schemas.openxmlformats.org/officeDocument/2006/relationships" r:embed="rId14" cstate="print">
          <a:duotone>
            <a:prstClr val="black"/>
            <a:srgbClr val="5B9BD5">
              <a:tint val="45000"/>
              <a:satMod val="400000"/>
            </a:srgbClr>
          </a:duotone>
          <a:extLst>
            <a:ext uri="{28A0092B-C50C-407E-A947-70E740481C1C}">
              <a14:useLocalDpi xmlns:a14="http://schemas.microsoft.com/office/drawing/2010/main" val="0"/>
            </a:ext>
          </a:extLst>
        </a:blip>
        <a:srcRect/>
        <a:stretch>
          <a:fillRect/>
        </a:stretch>
      </xdr:blipFill>
      <xdr:spPr bwMode="auto">
        <a:xfrm>
          <a:off x="11242656475" y="171450"/>
          <a:ext cx="434450" cy="44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247650</xdr:colOff>
      <xdr:row>3</xdr:row>
      <xdr:rowOff>168519</xdr:rowOff>
    </xdr:from>
    <xdr:to>
      <xdr:col>4</xdr:col>
      <xdr:colOff>713246</xdr:colOff>
      <xdr:row>18</xdr:row>
      <xdr:rowOff>87059</xdr:rowOff>
    </xdr:to>
    <xdr:grpSp>
      <xdr:nvGrpSpPr>
        <xdr:cNvPr id="15" name="קבוצה 14">
          <a:extLst>
            <a:ext uri="{FF2B5EF4-FFF2-40B4-BE49-F238E27FC236}">
              <a16:creationId xmlns:a16="http://schemas.microsoft.com/office/drawing/2014/main" id="{B4D162D4-43FB-4B2A-8947-8DAF01B92FB1}"/>
            </a:ext>
          </a:extLst>
        </xdr:cNvPr>
        <xdr:cNvGrpSpPr/>
      </xdr:nvGrpSpPr>
      <xdr:grpSpPr>
        <a:xfrm>
          <a:off x="11239729729" y="1035294"/>
          <a:ext cx="3170696" cy="4519115"/>
          <a:chOff x="11239729729" y="892419"/>
          <a:chExt cx="3170696" cy="4109540"/>
        </a:xfrm>
        <a:solidFill>
          <a:schemeClr val="accent5">
            <a:lumMod val="40000"/>
            <a:lumOff val="60000"/>
          </a:schemeClr>
        </a:solidFill>
      </xdr:grpSpPr>
      <xdr:sp macro="" textlink="">
        <xdr:nvSpPr>
          <xdr:cNvPr id="2" name="מלבן: פינות מעוגלות 1">
            <a:hlinkClick xmlns:r="http://schemas.openxmlformats.org/officeDocument/2006/relationships" r:id="rId1"/>
            <a:extLst>
              <a:ext uri="{FF2B5EF4-FFF2-40B4-BE49-F238E27FC236}">
                <a16:creationId xmlns:a16="http://schemas.microsoft.com/office/drawing/2014/main" id="{2DA512B2-BC06-4A83-A6BF-8B25C68A12F9}"/>
              </a:ext>
            </a:extLst>
          </xdr:cNvPr>
          <xdr:cNvSpPr/>
        </xdr:nvSpPr>
        <xdr:spPr>
          <a:xfrm>
            <a:off x="11239729729" y="1210881"/>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2. הסכמה</a:t>
            </a:r>
          </a:p>
        </xdr:txBody>
      </xdr:sp>
      <xdr:sp macro="" textlink="">
        <xdr:nvSpPr>
          <xdr:cNvPr id="3" name="מלבן: פינות מעוגלות 2">
            <a:hlinkClick xmlns:r="http://schemas.openxmlformats.org/officeDocument/2006/relationships" r:id="rId2"/>
            <a:extLst>
              <a:ext uri="{FF2B5EF4-FFF2-40B4-BE49-F238E27FC236}">
                <a16:creationId xmlns:a16="http://schemas.microsoft.com/office/drawing/2014/main" id="{712DBC49-F243-4BF9-B3D3-EEFCA95E86B1}"/>
              </a:ext>
            </a:extLst>
          </xdr:cNvPr>
          <xdr:cNvSpPr/>
        </xdr:nvSpPr>
        <xdr:spPr>
          <a:xfrm>
            <a:off x="11239729729" y="1529343"/>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2.1 סוגיות נוספות לבחינה בהתאם להמלצות הרשות</a:t>
            </a:r>
          </a:p>
        </xdr:txBody>
      </xdr:sp>
      <xdr:sp macro="" textlink="">
        <xdr:nvSpPr>
          <xdr:cNvPr id="4" name="מלבן: פינות מעוגלות 3">
            <a:hlinkClick xmlns:r="http://schemas.openxmlformats.org/officeDocument/2006/relationships" r:id="rId3"/>
            <a:extLst>
              <a:ext uri="{FF2B5EF4-FFF2-40B4-BE49-F238E27FC236}">
                <a16:creationId xmlns:a16="http://schemas.microsoft.com/office/drawing/2014/main" id="{37FAA0D0-209D-444F-B05F-EC8CD9B604C1}"/>
              </a:ext>
            </a:extLst>
          </xdr:cNvPr>
          <xdr:cNvSpPr/>
        </xdr:nvSpPr>
        <xdr:spPr>
          <a:xfrm>
            <a:off x="11239729729" y="1847805"/>
            <a:ext cx="3170696" cy="288000"/>
          </a:xfrm>
          <a:prstGeom prst="roundRect">
            <a:avLst/>
          </a:prstGeom>
          <a:grpFill/>
          <a:ln w="12700" cap="flat" cmpd="sng" algn="ctr">
            <a:solidFill>
              <a:srgbClr val="4472C4">
                <a:shade val="50000"/>
              </a:srgbClr>
            </a:solidFill>
            <a:prstDash val="solid"/>
            <a:miter lim="800000"/>
          </a:ln>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3. עיבוד, צמידות מטרה וצמצום מידע</a:t>
            </a:r>
          </a:p>
        </xdr:txBody>
      </xdr:sp>
      <xdr:sp macro="" textlink="">
        <xdr:nvSpPr>
          <xdr:cNvPr id="5" name="מלבן: פינות מעוגלות 4">
            <a:hlinkClick xmlns:r="http://schemas.openxmlformats.org/officeDocument/2006/relationships" r:id="rId4"/>
            <a:extLst>
              <a:ext uri="{FF2B5EF4-FFF2-40B4-BE49-F238E27FC236}">
                <a16:creationId xmlns:a16="http://schemas.microsoft.com/office/drawing/2014/main" id="{55EAD354-EFFD-46B9-8823-AB772720E99D}"/>
              </a:ext>
            </a:extLst>
          </xdr:cNvPr>
          <xdr:cNvSpPr/>
        </xdr:nvSpPr>
        <xdr:spPr>
          <a:xfrm>
            <a:off x="11239729729" y="2166267"/>
            <a:ext cx="3170696" cy="288000"/>
          </a:xfrm>
          <a:prstGeom prst="roundRect">
            <a:avLst/>
          </a:prstGeom>
          <a:grpFill/>
          <a:ln w="12700" cap="flat" cmpd="sng" algn="ctr">
            <a:solidFill>
              <a:srgbClr val="4472C4">
                <a:shade val="50000"/>
              </a:srgbClr>
            </a:solidFill>
            <a:prstDash val="solid"/>
            <a:miter lim="800000"/>
          </a:ln>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4. אבטחת מידע</a:t>
            </a:r>
          </a:p>
        </xdr:txBody>
      </xdr:sp>
      <xdr:sp macro="" textlink="">
        <xdr:nvSpPr>
          <xdr:cNvPr id="6" name="מלבן: פינות מעוגלות 5">
            <a:hlinkClick xmlns:r="http://schemas.openxmlformats.org/officeDocument/2006/relationships" r:id="rId5"/>
            <a:extLst>
              <a:ext uri="{FF2B5EF4-FFF2-40B4-BE49-F238E27FC236}">
                <a16:creationId xmlns:a16="http://schemas.microsoft.com/office/drawing/2014/main" id="{CBB84492-103D-4FA9-BFCF-D7250551F439}"/>
              </a:ext>
            </a:extLst>
          </xdr:cNvPr>
          <xdr:cNvSpPr/>
        </xdr:nvSpPr>
        <xdr:spPr>
          <a:xfrm>
            <a:off x="11239729729" y="248472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4.1 סעיפי חובה במסמך הגדרות מאגר</a:t>
            </a:r>
          </a:p>
        </xdr:txBody>
      </xdr:sp>
      <xdr:sp macro="" textlink="">
        <xdr:nvSpPr>
          <xdr:cNvPr id="7" name="מלבן: פינות מעוגלות 6">
            <a:hlinkClick xmlns:r="http://schemas.openxmlformats.org/officeDocument/2006/relationships" r:id="rId6"/>
            <a:extLst>
              <a:ext uri="{FF2B5EF4-FFF2-40B4-BE49-F238E27FC236}">
                <a16:creationId xmlns:a16="http://schemas.microsoft.com/office/drawing/2014/main" id="{918CED27-EEAB-4DF9-9661-016747132D55}"/>
              </a:ext>
            </a:extLst>
          </xdr:cNvPr>
          <xdr:cNvSpPr/>
        </xdr:nvSpPr>
        <xdr:spPr>
          <a:xfrm>
            <a:off x="11239729729" y="2803191"/>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5. בקרה שוטפת</a:t>
            </a:r>
          </a:p>
        </xdr:txBody>
      </xdr:sp>
      <xdr:sp macro="" textlink="">
        <xdr:nvSpPr>
          <xdr:cNvPr id="8" name="מלבן: פינות מעוגלות 7">
            <a:hlinkClick xmlns:r="http://schemas.openxmlformats.org/officeDocument/2006/relationships" r:id="rId7"/>
            <a:extLst>
              <a:ext uri="{FF2B5EF4-FFF2-40B4-BE49-F238E27FC236}">
                <a16:creationId xmlns:a16="http://schemas.microsoft.com/office/drawing/2014/main" id="{E4721B43-22B1-4A5E-B974-218E1B4EA642}"/>
              </a:ext>
            </a:extLst>
          </xdr:cNvPr>
          <xdr:cNvSpPr/>
        </xdr:nvSpPr>
        <xdr:spPr>
          <a:xfrm>
            <a:off x="11239729729" y="3121653"/>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5.1 תיקון ליקויים</a:t>
            </a:r>
          </a:p>
        </xdr:txBody>
      </xdr:sp>
      <xdr:sp macro="" textlink="">
        <xdr:nvSpPr>
          <xdr:cNvPr id="9" name="מלבן: פינות מעוגלות 8">
            <a:hlinkClick xmlns:r="http://schemas.openxmlformats.org/officeDocument/2006/relationships" r:id="rId8"/>
            <a:extLst>
              <a:ext uri="{FF2B5EF4-FFF2-40B4-BE49-F238E27FC236}">
                <a16:creationId xmlns:a16="http://schemas.microsoft.com/office/drawing/2014/main" id="{986B2268-0C2B-42DD-8C4B-8F1179E9B070}"/>
              </a:ext>
            </a:extLst>
          </xdr:cNvPr>
          <xdr:cNvSpPr/>
        </xdr:nvSpPr>
        <xdr:spPr>
          <a:xfrm>
            <a:off x="11239729729" y="3440115"/>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6. רישום והודעה על מאגרי מידע</a:t>
            </a:r>
          </a:p>
        </xdr:txBody>
      </xdr:sp>
      <xdr:sp macro="" textlink="">
        <xdr:nvSpPr>
          <xdr:cNvPr id="10" name="מלבן: פינות מעוגלות 9">
            <a:hlinkClick xmlns:r="http://schemas.openxmlformats.org/officeDocument/2006/relationships" r:id="rId9"/>
            <a:extLst>
              <a:ext uri="{FF2B5EF4-FFF2-40B4-BE49-F238E27FC236}">
                <a16:creationId xmlns:a16="http://schemas.microsoft.com/office/drawing/2014/main" id="{43E65F44-A1D4-4275-AF80-7D4435154BDE}"/>
              </a:ext>
            </a:extLst>
          </xdr:cNvPr>
          <xdr:cNvSpPr/>
        </xdr:nvSpPr>
        <xdr:spPr>
          <a:xfrm>
            <a:off x="11239729729" y="3758577"/>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7. דיוור ישיר</a:t>
            </a:r>
          </a:p>
        </xdr:txBody>
      </xdr:sp>
      <xdr:sp macro="" textlink="">
        <xdr:nvSpPr>
          <xdr:cNvPr id="11" name="מלבן: פינות מעוגלות 10">
            <a:hlinkClick xmlns:r="http://schemas.openxmlformats.org/officeDocument/2006/relationships" r:id="rId10"/>
            <a:extLst>
              <a:ext uri="{FF2B5EF4-FFF2-40B4-BE49-F238E27FC236}">
                <a16:creationId xmlns:a16="http://schemas.microsoft.com/office/drawing/2014/main" id="{8D8E720B-ED29-4B7F-B4F6-747F47D8C1F5}"/>
              </a:ext>
            </a:extLst>
          </xdr:cNvPr>
          <xdr:cNvSpPr/>
        </xdr:nvSpPr>
        <xdr:spPr>
          <a:xfrm>
            <a:off x="11239729729" y="407703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8. הדרכת עובדים</a:t>
            </a:r>
          </a:p>
        </xdr:txBody>
      </xdr:sp>
      <xdr:sp macro="" textlink="">
        <xdr:nvSpPr>
          <xdr:cNvPr id="12" name="מלבן: פינות מעוגלות 11">
            <a:hlinkClick xmlns:r="http://schemas.openxmlformats.org/officeDocument/2006/relationships" r:id="rId11"/>
            <a:extLst>
              <a:ext uri="{FF2B5EF4-FFF2-40B4-BE49-F238E27FC236}">
                <a16:creationId xmlns:a16="http://schemas.microsoft.com/office/drawing/2014/main" id="{F259CF6A-E7C0-4B7C-B0DD-BC9601E06BA1}"/>
              </a:ext>
            </a:extLst>
          </xdr:cNvPr>
          <xdr:cNvSpPr/>
        </xdr:nvSpPr>
        <xdr:spPr>
          <a:xfrm>
            <a:off x="11239729729" y="4395501"/>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9. טיפול בפניות</a:t>
            </a:r>
          </a:p>
        </xdr:txBody>
      </xdr:sp>
      <xdr:sp macro="" textlink="">
        <xdr:nvSpPr>
          <xdr:cNvPr id="13" name="מלבן: פינות מעוגלות 12">
            <a:extLst>
              <a:ext uri="{FF2B5EF4-FFF2-40B4-BE49-F238E27FC236}">
                <a16:creationId xmlns:a16="http://schemas.microsoft.com/office/drawing/2014/main" id="{E17DFD0B-E863-4EB6-BE03-2CCC24D38D52}"/>
              </a:ext>
            </a:extLst>
          </xdr:cNvPr>
          <xdr:cNvSpPr/>
        </xdr:nvSpPr>
        <xdr:spPr>
          <a:xfrm>
            <a:off x="11239729729" y="4713959"/>
            <a:ext cx="3170696" cy="288000"/>
          </a:xfrm>
          <a:prstGeom prst="roundRect">
            <a:avLst/>
          </a:prstGeom>
          <a:grpFill/>
          <a:ln w="12700" cap="flat" cmpd="sng" algn="ctr">
            <a:solidFill>
              <a:srgbClr val="4472C4">
                <a:shade val="50000"/>
              </a:srgbClr>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1"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rPr>
              <a:t>10. אחריות דירקטוריון </a:t>
            </a:r>
            <a:r>
              <a:rPr lang="he-IL" sz="1200" b="1" i="0" baseline="0">
                <a:solidFill>
                  <a:sysClr val="windowText" lastClr="000000"/>
                </a:solidFill>
                <a:effectLst>
                  <a:outerShdw blurRad="63500" sx="102000" sy="102000" algn="ctr" rotWithShape="0">
                    <a:srgbClr val="000000">
                      <a:alpha val="40000"/>
                    </a:srgbClr>
                  </a:outerShdw>
                </a:effectLst>
                <a:latin typeface="Calibri" panose="020F0502020204030204" pitchFamily="34" charset="0"/>
                <a:ea typeface="Calibri" panose="020F0502020204030204" pitchFamily="34" charset="0"/>
                <a:cs typeface="Calibri" panose="020F0502020204030204" pitchFamily="34" charset="0"/>
              </a:rPr>
              <a:t>(אנחנו כאן)</a:t>
            </a:r>
            <a:endParaRPr kumimoji="0" lang="he-IL" sz="1200" b="1" i="0" u="none" strike="noStrike" kern="0" cap="none" spc="0" normalizeH="0" baseline="0" noProof="0">
              <a:ln>
                <a:noFill/>
              </a:ln>
              <a:solidFill>
                <a:sysClr val="windowText" lastClr="000000"/>
              </a:solidFill>
              <a:effectLst/>
              <a:uLnTx/>
              <a:uFillTx/>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4" name="מלבן: פינות מעוגלות 13">
            <a:hlinkClick xmlns:r="http://schemas.openxmlformats.org/officeDocument/2006/relationships" r:id="rId12"/>
            <a:extLst>
              <a:ext uri="{FF2B5EF4-FFF2-40B4-BE49-F238E27FC236}">
                <a16:creationId xmlns:a16="http://schemas.microsoft.com/office/drawing/2014/main" id="{B39DAD66-FDBB-440C-A916-B4C0FFC0BF5A}"/>
              </a:ext>
            </a:extLst>
          </xdr:cNvPr>
          <xdr:cNvSpPr/>
        </xdr:nvSpPr>
        <xdr:spPr>
          <a:xfrm>
            <a:off x="11239729729" y="892419"/>
            <a:ext cx="3170696" cy="288000"/>
          </a:xfrm>
          <a:prstGeom prst="roundRect">
            <a:avLst/>
          </a:prstGeom>
          <a:grpFill/>
          <a:ln w="3175" cap="flat" cmpd="sng" algn="ctr">
            <a:noFill/>
            <a:prstDash val="solid"/>
            <a:miter lim="800000"/>
          </a:ln>
          <a:effectLst>
            <a:outerShdw blurRad="50800" dist="38100" dir="2700000" algn="tl" rotWithShape="0">
              <a:prstClr val="black">
                <a:alpha val="40000"/>
              </a:prstClr>
            </a:outerShdw>
          </a:effectLst>
          <a:scene3d>
            <a:camera prst="orthographicFront"/>
            <a:lightRig rig="threePt" dir="t"/>
          </a:scene3d>
          <a:sp3d>
            <a:bevelT/>
            <a:bevelB/>
          </a:sp3d>
        </xdr:spPr>
        <xdr:txBody>
          <a:bodyPr vertOverflow="clip" horzOverflow="clip" rtlCol="1" anchor="ctr">
            <a:sp3d/>
          </a:bodyP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he-IL" sz="1200" b="0" i="0" u="none" strike="noStrike" kern="0" cap="none" spc="0" normalizeH="0" baseline="0" noProof="0">
                <a:ln>
                  <a:noFill/>
                </a:ln>
                <a:solidFill>
                  <a:sysClr val="windowText" lastClr="000000"/>
                </a:solidFill>
                <a:effectLst>
                  <a:outerShdw blurRad="63500" sx="102000" sy="102000" algn="ctr" rotWithShape="0">
                    <a:prstClr val="black">
                      <a:alpha val="40000"/>
                    </a:prstClr>
                  </a:outerShdw>
                </a:effectLst>
                <a:uLnTx/>
                <a:uFillTx/>
                <a:latin typeface="Calibri" panose="020F0502020204030204" pitchFamily="34" charset="0"/>
                <a:ea typeface="Calibri" panose="020F0502020204030204" pitchFamily="34" charset="0"/>
                <a:cs typeface="Calibri" panose="020F0502020204030204" pitchFamily="34" charset="0"/>
              </a:rPr>
              <a:t>1. יידוע נושאי מידע</a:t>
            </a:r>
          </a:p>
        </xdr:txBody>
      </xdr:sp>
    </xdr:grpSp>
    <xdr:clientData/>
  </xdr:twoCellAnchor>
  <xdr:twoCellAnchor editAs="oneCell">
    <xdr:from>
      <xdr:col>0</xdr:col>
      <xdr:colOff>266700</xdr:colOff>
      <xdr:row>1</xdr:row>
      <xdr:rowOff>180975</xdr:rowOff>
    </xdr:from>
    <xdr:to>
      <xdr:col>1</xdr:col>
      <xdr:colOff>424925</xdr:colOff>
      <xdr:row>2</xdr:row>
      <xdr:rowOff>229875</xdr:rowOff>
    </xdr:to>
    <xdr:pic>
      <xdr:nvPicPr>
        <xdr:cNvPr id="16" name="תמונה 15">
          <a:hlinkClick xmlns:r="http://schemas.openxmlformats.org/officeDocument/2006/relationships" r:id="rId13"/>
          <a:extLst>
            <a:ext uri="{FF2B5EF4-FFF2-40B4-BE49-F238E27FC236}">
              <a16:creationId xmlns:a16="http://schemas.microsoft.com/office/drawing/2014/main" id="{3B96EA28-227D-4D0E-A539-0F3469F8AA5A}"/>
            </a:ext>
          </a:extLst>
        </xdr:cNvPr>
        <xdr:cNvPicPr>
          <a:picLocks noChangeAspect="1" noChangeArrowheads="1"/>
        </xdr:cNvPicPr>
      </xdr:nvPicPr>
      <xdr:blipFill>
        <a:blip xmlns:r="http://schemas.openxmlformats.org/officeDocument/2006/relationships" r:embed="rId14" cstate="print">
          <a:duotone>
            <a:prstClr val="black"/>
            <a:srgbClr val="5B9BD5">
              <a:tint val="45000"/>
              <a:satMod val="400000"/>
            </a:srgbClr>
          </a:duotone>
          <a:extLst>
            <a:ext uri="{28A0092B-C50C-407E-A947-70E740481C1C}">
              <a14:useLocalDpi xmlns:a14="http://schemas.microsoft.com/office/drawing/2010/main" val="0"/>
            </a:ext>
          </a:extLst>
        </a:blip>
        <a:srcRect/>
        <a:stretch>
          <a:fillRect/>
        </a:stretch>
      </xdr:blipFill>
      <xdr:spPr bwMode="auto">
        <a:xfrm>
          <a:off x="11242446925" y="361950"/>
          <a:ext cx="434450" cy="44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gov.il/he/pages/duty_to_notify"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gov.il/he/pages/consent2025"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gov.il/he/pages/data_minimization_public_hearing"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gov.il/he/pages/direct_mail_2"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gov.il/he/pages/the_board_ro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DB656-0850-425C-BF0E-6A49B3FB4371}">
  <sheetPr codeName="גיליון2"/>
  <dimension ref="B3:L35"/>
  <sheetViews>
    <sheetView showGridLines="0" showRowColHeaders="0" rightToLeft="1" tabSelected="1" zoomScaleNormal="100" workbookViewId="0"/>
  </sheetViews>
  <sheetFormatPr defaultColWidth="10.625" defaultRowHeight="15.75" x14ac:dyDescent="0.2"/>
  <cols>
    <col min="1" max="1" width="3.625" style="10" customWidth="1"/>
    <col min="2" max="3" width="1.625" style="10" customWidth="1"/>
    <col min="4" max="4" width="3.625" style="9" customWidth="1"/>
    <col min="5" max="5" width="25.625" style="9" customWidth="1"/>
    <col min="6" max="8" width="25.625" style="10" customWidth="1"/>
    <col min="9" max="10" width="1.625" style="10" customWidth="1"/>
    <col min="11" max="11" width="3.625" style="10" customWidth="1"/>
    <col min="12" max="13" width="10.625" style="10" customWidth="1"/>
    <col min="14" max="20" width="10.625" style="10"/>
    <col min="21" max="21" width="3.625" style="10" customWidth="1"/>
    <col min="22" max="16384" width="10.625" style="10"/>
  </cols>
  <sheetData>
    <row r="3" spans="2:12" ht="45" customHeight="1" x14ac:dyDescent="0.2">
      <c r="C3" s="14"/>
      <c r="D3" s="95" t="s">
        <v>105</v>
      </c>
      <c r="E3" s="95"/>
      <c r="F3" s="95"/>
      <c r="G3" s="95"/>
      <c r="H3" s="95"/>
      <c r="I3" s="95"/>
      <c r="J3" s="7"/>
      <c r="K3" s="7"/>
      <c r="L3" s="7"/>
    </row>
    <row r="4" spans="2:12" x14ac:dyDescent="0.2">
      <c r="B4" s="72"/>
      <c r="C4" s="78"/>
      <c r="D4" s="98" t="s">
        <v>39</v>
      </c>
      <c r="E4" s="98"/>
      <c r="F4" s="98"/>
      <c r="G4" s="98"/>
      <c r="H4" s="98"/>
      <c r="I4" s="75"/>
      <c r="J4" s="88"/>
      <c r="K4" s="11"/>
      <c r="L4" s="11"/>
    </row>
    <row r="5" spans="2:12" x14ac:dyDescent="0.25">
      <c r="B5" s="73"/>
      <c r="C5" s="79"/>
      <c r="D5" s="15">
        <v>1</v>
      </c>
      <c r="E5" s="99" t="s">
        <v>107</v>
      </c>
      <c r="F5" s="99"/>
      <c r="G5" s="99"/>
      <c r="H5" s="99"/>
      <c r="I5" s="76"/>
      <c r="J5" s="89"/>
      <c r="K5" s="6"/>
      <c r="L5" s="6"/>
    </row>
    <row r="6" spans="2:12" x14ac:dyDescent="0.25">
      <c r="B6" s="73"/>
      <c r="C6" s="79"/>
      <c r="D6" s="24">
        <v>2</v>
      </c>
      <c r="E6" s="87" t="s">
        <v>35</v>
      </c>
      <c r="F6" s="87"/>
      <c r="G6" s="87"/>
      <c r="H6" s="87"/>
      <c r="I6" s="76"/>
      <c r="J6" s="89"/>
      <c r="K6" s="6"/>
      <c r="L6" s="6"/>
    </row>
    <row r="7" spans="2:12" x14ac:dyDescent="0.2">
      <c r="B7" s="73"/>
      <c r="C7" s="79"/>
      <c r="D7" s="16">
        <v>2.1</v>
      </c>
      <c r="E7" s="97" t="s">
        <v>108</v>
      </c>
      <c r="F7" s="97"/>
      <c r="G7" s="97"/>
      <c r="H7" s="97"/>
      <c r="I7" s="76"/>
      <c r="J7" s="89"/>
      <c r="K7" s="6"/>
      <c r="L7" s="6"/>
    </row>
    <row r="8" spans="2:12" x14ac:dyDescent="0.25">
      <c r="B8" s="73"/>
      <c r="C8" s="79"/>
      <c r="D8" s="24">
        <v>3</v>
      </c>
      <c r="E8" s="87" t="s">
        <v>112</v>
      </c>
      <c r="F8" s="87"/>
      <c r="G8" s="87"/>
      <c r="H8" s="87"/>
      <c r="I8" s="76"/>
      <c r="J8" s="89"/>
      <c r="K8" s="6"/>
      <c r="L8" s="6"/>
    </row>
    <row r="9" spans="2:12" x14ac:dyDescent="0.25">
      <c r="B9" s="73"/>
      <c r="C9" s="79"/>
      <c r="D9" s="24">
        <v>4</v>
      </c>
      <c r="E9" s="87" t="s">
        <v>32</v>
      </c>
      <c r="F9" s="87"/>
      <c r="G9" s="87"/>
      <c r="H9" s="87"/>
      <c r="I9" s="76"/>
      <c r="J9" s="89"/>
      <c r="K9" s="6"/>
      <c r="L9" s="6"/>
    </row>
    <row r="10" spans="2:12" x14ac:dyDescent="0.25">
      <c r="B10" s="73"/>
      <c r="C10" s="79"/>
      <c r="D10" s="16">
        <v>4.0999999999999996</v>
      </c>
      <c r="E10" s="96" t="s">
        <v>17</v>
      </c>
      <c r="F10" s="96"/>
      <c r="G10" s="96"/>
      <c r="H10" s="96"/>
      <c r="I10" s="76"/>
      <c r="J10" s="89"/>
    </row>
    <row r="11" spans="2:12" x14ac:dyDescent="0.25">
      <c r="B11" s="73"/>
      <c r="C11" s="79"/>
      <c r="D11" s="24">
        <v>5</v>
      </c>
      <c r="E11" s="87" t="s">
        <v>19</v>
      </c>
      <c r="F11" s="87"/>
      <c r="G11" s="87"/>
      <c r="H11" s="87"/>
      <c r="I11" s="76"/>
      <c r="J11" s="89"/>
      <c r="K11" s="9"/>
      <c r="L11" s="9"/>
    </row>
    <row r="12" spans="2:12" x14ac:dyDescent="0.25">
      <c r="B12" s="73"/>
      <c r="C12" s="79"/>
      <c r="D12" s="16">
        <v>5.0999999999999996</v>
      </c>
      <c r="E12" s="96" t="s">
        <v>31</v>
      </c>
      <c r="F12" s="96"/>
      <c r="G12" s="96"/>
      <c r="H12" s="96"/>
      <c r="I12" s="76"/>
      <c r="J12" s="89"/>
    </row>
    <row r="13" spans="2:12" x14ac:dyDescent="0.25">
      <c r="B13" s="73"/>
      <c r="C13" s="79"/>
      <c r="D13" s="24">
        <v>6</v>
      </c>
      <c r="E13" s="87" t="s">
        <v>113</v>
      </c>
      <c r="F13" s="87"/>
      <c r="G13" s="87"/>
      <c r="H13" s="87"/>
      <c r="I13" s="76"/>
      <c r="J13" s="89"/>
    </row>
    <row r="14" spans="2:12" x14ac:dyDescent="0.25">
      <c r="B14" s="73"/>
      <c r="C14" s="79"/>
      <c r="D14" s="24">
        <v>7</v>
      </c>
      <c r="E14" s="87" t="s">
        <v>34</v>
      </c>
      <c r="F14" s="87"/>
      <c r="G14" s="87"/>
      <c r="H14" s="87"/>
      <c r="I14" s="76"/>
      <c r="J14" s="89"/>
      <c r="K14" s="9"/>
      <c r="L14" s="9"/>
    </row>
    <row r="15" spans="2:12" x14ac:dyDescent="0.25">
      <c r="B15" s="73"/>
      <c r="C15" s="79"/>
      <c r="D15" s="24">
        <v>8</v>
      </c>
      <c r="E15" s="87" t="s">
        <v>70</v>
      </c>
      <c r="F15" s="87"/>
      <c r="G15" s="87"/>
      <c r="H15" s="87"/>
      <c r="I15" s="76"/>
      <c r="J15" s="89"/>
      <c r="K15" s="9"/>
      <c r="L15" s="9"/>
    </row>
    <row r="16" spans="2:12" x14ac:dyDescent="0.25">
      <c r="B16" s="73"/>
      <c r="C16" s="79"/>
      <c r="D16" s="24">
        <v>9</v>
      </c>
      <c r="E16" s="87" t="s">
        <v>33</v>
      </c>
      <c r="F16" s="87"/>
      <c r="G16" s="87"/>
      <c r="H16" s="87"/>
      <c r="I16" s="76"/>
      <c r="J16" s="89"/>
      <c r="K16" s="9"/>
      <c r="L16" s="9"/>
    </row>
    <row r="17" spans="2:12" x14ac:dyDescent="0.25">
      <c r="B17" s="74"/>
      <c r="C17" s="80"/>
      <c r="D17" s="25">
        <v>10</v>
      </c>
      <c r="E17" s="91" t="s">
        <v>53</v>
      </c>
      <c r="F17" s="91"/>
      <c r="G17" s="91"/>
      <c r="H17" s="91"/>
      <c r="I17" s="77"/>
      <c r="J17" s="90"/>
      <c r="K17" s="9"/>
      <c r="L17" s="9"/>
    </row>
    <row r="18" spans="2:12" x14ac:dyDescent="0.2">
      <c r="C18" s="14"/>
      <c r="D18" s="17"/>
      <c r="E18" s="17"/>
      <c r="F18" s="14"/>
      <c r="G18" s="14"/>
      <c r="H18" s="14"/>
      <c r="I18" s="14"/>
    </row>
    <row r="19" spans="2:12" ht="15" customHeight="1" x14ac:dyDescent="0.2">
      <c r="B19" s="26"/>
      <c r="C19" s="84"/>
      <c r="D19" s="92" t="s">
        <v>144</v>
      </c>
      <c r="E19" s="92"/>
      <c r="F19" s="92"/>
      <c r="G19" s="92"/>
      <c r="H19" s="92"/>
      <c r="I19" s="81"/>
      <c r="J19" s="27"/>
    </row>
    <row r="20" spans="2:12" x14ac:dyDescent="0.2">
      <c r="B20" s="28"/>
      <c r="C20" s="85"/>
      <c r="D20" s="93"/>
      <c r="E20" s="93"/>
      <c r="F20" s="93"/>
      <c r="G20" s="93"/>
      <c r="H20" s="93"/>
      <c r="I20" s="82"/>
      <c r="J20" s="29"/>
    </row>
    <row r="21" spans="2:12" x14ac:dyDescent="0.2">
      <c r="B21" s="28"/>
      <c r="C21" s="85"/>
      <c r="D21" s="93"/>
      <c r="E21" s="93"/>
      <c r="F21" s="93"/>
      <c r="G21" s="93"/>
      <c r="H21" s="93"/>
      <c r="I21" s="82"/>
      <c r="J21" s="29"/>
    </row>
    <row r="22" spans="2:12" x14ac:dyDescent="0.2">
      <c r="B22" s="28"/>
      <c r="C22" s="85"/>
      <c r="D22" s="93"/>
      <c r="E22" s="93"/>
      <c r="F22" s="93"/>
      <c r="G22" s="93"/>
      <c r="H22" s="93"/>
      <c r="I22" s="82"/>
      <c r="J22" s="29"/>
    </row>
    <row r="23" spans="2:12" x14ac:dyDescent="0.2">
      <c r="B23" s="28"/>
      <c r="C23" s="85"/>
      <c r="D23" s="93"/>
      <c r="E23" s="93"/>
      <c r="F23" s="93"/>
      <c r="G23" s="93"/>
      <c r="H23" s="93"/>
      <c r="I23" s="82"/>
      <c r="J23" s="29"/>
    </row>
    <row r="24" spans="2:12" x14ac:dyDescent="0.2">
      <c r="B24" s="28"/>
      <c r="C24" s="85"/>
      <c r="D24" s="93"/>
      <c r="E24" s="93"/>
      <c r="F24" s="93"/>
      <c r="G24" s="93"/>
      <c r="H24" s="93"/>
      <c r="I24" s="82"/>
      <c r="J24" s="29"/>
    </row>
    <row r="25" spans="2:12" x14ac:dyDescent="0.2">
      <c r="B25" s="28"/>
      <c r="C25" s="85"/>
      <c r="D25" s="93"/>
      <c r="E25" s="93"/>
      <c r="F25" s="93"/>
      <c r="G25" s="93"/>
      <c r="H25" s="93"/>
      <c r="I25" s="82"/>
      <c r="J25" s="29"/>
    </row>
    <row r="26" spans="2:12" x14ac:dyDescent="0.2">
      <c r="B26" s="28"/>
      <c r="C26" s="85"/>
      <c r="D26" s="93"/>
      <c r="E26" s="93"/>
      <c r="F26" s="93"/>
      <c r="G26" s="93"/>
      <c r="H26" s="93"/>
      <c r="I26" s="82"/>
      <c r="J26" s="29"/>
    </row>
    <row r="27" spans="2:12" x14ac:dyDescent="0.2">
      <c r="B27" s="28"/>
      <c r="C27" s="85"/>
      <c r="D27" s="93"/>
      <c r="E27" s="93"/>
      <c r="F27" s="93"/>
      <c r="G27" s="93"/>
      <c r="H27" s="93"/>
      <c r="I27" s="82"/>
      <c r="J27" s="29"/>
    </row>
    <row r="28" spans="2:12" x14ac:dyDescent="0.2">
      <c r="B28" s="28"/>
      <c r="C28" s="85"/>
      <c r="D28" s="93"/>
      <c r="E28" s="93"/>
      <c r="F28" s="93"/>
      <c r="G28" s="93"/>
      <c r="H28" s="93"/>
      <c r="I28" s="82"/>
      <c r="J28" s="29"/>
    </row>
    <row r="29" spans="2:12" x14ac:dyDescent="0.2">
      <c r="B29" s="28"/>
      <c r="C29" s="85"/>
      <c r="D29" s="93"/>
      <c r="E29" s="93"/>
      <c r="F29" s="93"/>
      <c r="G29" s="93"/>
      <c r="H29" s="93"/>
      <c r="I29" s="82"/>
      <c r="J29" s="29"/>
    </row>
    <row r="30" spans="2:12" x14ac:dyDescent="0.2">
      <c r="B30" s="28"/>
      <c r="C30" s="85"/>
      <c r="D30" s="93"/>
      <c r="E30" s="93"/>
      <c r="F30" s="93"/>
      <c r="G30" s="93"/>
      <c r="H30" s="93"/>
      <c r="I30" s="82"/>
      <c r="J30" s="29"/>
    </row>
    <row r="31" spans="2:12" ht="15" customHeight="1" x14ac:dyDescent="0.2">
      <c r="B31" s="30"/>
      <c r="C31" s="86"/>
      <c r="D31" s="94"/>
      <c r="E31" s="94"/>
      <c r="F31" s="94"/>
      <c r="G31" s="94"/>
      <c r="H31" s="94"/>
      <c r="I31" s="83"/>
      <c r="J31" s="31"/>
    </row>
    <row r="32" spans="2:12" x14ac:dyDescent="0.2">
      <c r="C32" s="14"/>
      <c r="D32" s="17"/>
      <c r="E32" s="17"/>
      <c r="F32" s="14"/>
      <c r="G32" s="14"/>
      <c r="H32" s="14"/>
      <c r="I32" s="14"/>
    </row>
    <row r="33" spans="3:9" x14ac:dyDescent="0.2">
      <c r="C33" s="14"/>
      <c r="D33" s="17"/>
      <c r="E33" s="17"/>
      <c r="F33" s="14"/>
      <c r="G33" s="14"/>
      <c r="H33" s="14"/>
      <c r="I33" s="14"/>
    </row>
    <row r="34" spans="3:9" x14ac:dyDescent="0.2">
      <c r="C34" s="14"/>
      <c r="D34" s="17"/>
      <c r="E34" s="17"/>
      <c r="F34" s="14"/>
      <c r="G34" s="14"/>
      <c r="H34" s="14"/>
      <c r="I34" s="14"/>
    </row>
    <row r="35" spans="3:9" x14ac:dyDescent="0.2">
      <c r="C35" s="14"/>
      <c r="D35" s="17"/>
      <c r="E35" s="17"/>
      <c r="F35" s="14"/>
      <c r="G35" s="14"/>
      <c r="H35" s="14"/>
      <c r="I35" s="14"/>
    </row>
  </sheetData>
  <sheetProtection selectLockedCells="1"/>
  <mergeCells count="22">
    <mergeCell ref="J4:J17"/>
    <mergeCell ref="E17:H17"/>
    <mergeCell ref="D19:H31"/>
    <mergeCell ref="D3:I3"/>
    <mergeCell ref="E13:H13"/>
    <mergeCell ref="E14:H14"/>
    <mergeCell ref="E15:H15"/>
    <mergeCell ref="E16:H16"/>
    <mergeCell ref="E10:H10"/>
    <mergeCell ref="E12:H12"/>
    <mergeCell ref="E7:H7"/>
    <mergeCell ref="D4:H4"/>
    <mergeCell ref="E5:H5"/>
    <mergeCell ref="E6:H6"/>
    <mergeCell ref="E8:H8"/>
    <mergeCell ref="E9:H9"/>
    <mergeCell ref="B4:B17"/>
    <mergeCell ref="I4:I17"/>
    <mergeCell ref="C4:C17"/>
    <mergeCell ref="I19:I31"/>
    <mergeCell ref="C19:C31"/>
    <mergeCell ref="E11:H11"/>
  </mergeCells>
  <hyperlinks>
    <hyperlink ref="E5:H5" location="'1. יידוע'!A1" display="יידוע נושאי מידע" xr:uid="{33AC12E2-A9FD-4645-ACD6-C4A71283957A}"/>
    <hyperlink ref="E6:H6" location="'2. הסכמה'!A1" display="הסכמה " xr:uid="{A27B55AF-543A-4104-B22B-93B0CDF632E7}"/>
    <hyperlink ref="E7:H7" location="'2.1 סוגיות נוספות לבחינה'!A1" display="סוגיות נוספות לבחינה בהתאם להמלצות הרשות" xr:uid="{47300A75-92D0-40D9-8BFD-92405B55BC30}"/>
    <hyperlink ref="E8:H8" location="'3. צמידות מטרה וצמצום מידע'!A1" display="עיבוד, צמידות מטרה וצמצום מידע" xr:uid="{577F251B-9F75-4AB6-887B-1CDA2AAE02B0}"/>
    <hyperlink ref="E9:H9" location="'4. אבטחת מידע'!A1" display="אבטחת מידע" xr:uid="{FA388435-4E38-4562-8E1C-9FBA6C7E273B}"/>
    <hyperlink ref="E10:H10" location="'4.1 סעיפי חובה מסמך הגדרות מאגר'!A1" display="סעיפי חובה במסמך הגדרות מאגר" xr:uid="{B4888C5C-0FE7-42F3-A9FD-A97ADA70BACE}"/>
    <hyperlink ref="E11:H11" location="'5. בקרה שוטפת'!A1" display="בקרה שוטפת" xr:uid="{EA6D7AEA-3967-4C46-A94D-F0C6F83332EF}"/>
    <hyperlink ref="E12:H12" location="'5.1 תיקון ליקויים'!A1" display="תיקון ליקויים" xr:uid="{D1EA01D5-269B-4FA6-B5E8-A6D0FE8A3FFA}"/>
    <hyperlink ref="E13:H13" location="'6. רישום והודעה על מאגרים'!A1" display="רישום והודעה על מאגרי מידע" xr:uid="{323D34C0-6007-4223-8E2A-4465F4A2D7A9}"/>
    <hyperlink ref="E14:H14" location="'7. דיוור ישיר'!A1" display="דיוור ישיר" xr:uid="{2F858794-C75B-4C5D-AE9A-136EFA77A8B3}"/>
    <hyperlink ref="E15:H15" location="'8. עובדים'!A1" display="הדרכת עובדים" xr:uid="{EC6F2300-A877-4819-A2A4-3294151139B7}"/>
    <hyperlink ref="E16:H16" location="'9. טיפול בפניות'!A1" display="טיפול בפניות" xr:uid="{1CA34298-AB12-402C-BAE0-34089537AFF5}"/>
    <hyperlink ref="E17:H17" location="'10. אחריות דירקטוריון'!A1" display="אחריות דירקטוריון " xr:uid="{D8FC96AF-A341-40CE-AB2E-1723A65446B5}"/>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45878-2B0C-4BB3-8C32-07A522F94C86}">
  <sheetPr codeName="גיליון4"/>
  <dimension ref="A2:M15"/>
  <sheetViews>
    <sheetView showGridLines="0" showRowColHeaders="0" rightToLeft="1" zoomScaleNormal="100" workbookViewId="0"/>
  </sheetViews>
  <sheetFormatPr defaultColWidth="9" defaultRowHeight="15.75" x14ac:dyDescent="0.25"/>
  <cols>
    <col min="1" max="1" width="3.625" style="10" customWidth="1"/>
    <col min="2" max="3" width="10.625" style="10" customWidth="1"/>
    <col min="4" max="4" width="10.625" style="13" customWidth="1"/>
    <col min="5" max="5" width="10.625" style="10" customWidth="1"/>
    <col min="6" max="6" width="3.625" style="12" customWidth="1"/>
    <col min="7" max="7" width="60.625" style="12" customWidth="1"/>
    <col min="8" max="11" width="15.625" style="12" customWidth="1"/>
    <col min="12" max="12" width="3.625" style="12" customWidth="1"/>
    <col min="13" max="16384" width="9" style="12"/>
  </cols>
  <sheetData>
    <row r="2" spans="7:13" ht="31.5" x14ac:dyDescent="0.25">
      <c r="G2" s="100" t="s">
        <v>106</v>
      </c>
      <c r="H2" s="100"/>
      <c r="I2" s="100"/>
      <c r="J2" s="100"/>
      <c r="K2" s="100"/>
      <c r="L2" s="18"/>
      <c r="M2" s="18"/>
    </row>
    <row r="3" spans="7:13" x14ac:dyDescent="0.25">
      <c r="G3" s="18"/>
      <c r="H3" s="18"/>
      <c r="I3" s="18"/>
      <c r="J3" s="18"/>
      <c r="K3" s="18"/>
      <c r="L3" s="18"/>
      <c r="M3" s="18"/>
    </row>
    <row r="4" spans="7:13" ht="29.25" customHeight="1" x14ac:dyDescent="0.25">
      <c r="G4" s="34" t="s">
        <v>0</v>
      </c>
      <c r="H4" s="34" t="s">
        <v>1</v>
      </c>
      <c r="I4" s="34" t="s">
        <v>2</v>
      </c>
      <c r="J4" s="34" t="s">
        <v>4</v>
      </c>
      <c r="K4" s="34" t="s">
        <v>3</v>
      </c>
      <c r="L4" s="18"/>
      <c r="M4" s="18"/>
    </row>
    <row r="5" spans="7:13" x14ac:dyDescent="0.25">
      <c r="G5" s="35" t="s">
        <v>62</v>
      </c>
      <c r="H5" s="19"/>
      <c r="I5" s="20"/>
      <c r="J5" s="21" t="str" cm="1">
        <f t="array" ref="J5">_xlfn.IFNA(_xlfn.IFS(I5="","",AND(I5="כן",NOT(H5="")),H5+547),"")</f>
        <v/>
      </c>
      <c r="K5" s="20"/>
      <c r="L5" s="18"/>
      <c r="M5" s="18"/>
    </row>
    <row r="6" spans="7:13" x14ac:dyDescent="0.25">
      <c r="G6" s="35" t="s">
        <v>20</v>
      </c>
      <c r="H6" s="19"/>
      <c r="I6" s="20"/>
      <c r="J6" s="21" t="str" cm="1">
        <f t="array" ref="J6">_xlfn.IFNA(_xlfn.IFS(I6="","",AND(I6="כן",NOT(H6="")),H6+547),"")</f>
        <v/>
      </c>
      <c r="K6" s="20"/>
      <c r="L6" s="18"/>
      <c r="M6" s="18"/>
    </row>
    <row r="7" spans="7:13" ht="31.5" x14ac:dyDescent="0.25">
      <c r="G7" s="35" t="s">
        <v>21</v>
      </c>
      <c r="H7" s="19"/>
      <c r="I7" s="20"/>
      <c r="J7" s="21" t="str" cm="1">
        <f t="array" ref="J7">_xlfn.IFNA(_xlfn.IFS(I7="","",AND(I7="כן",NOT(H7="")),H7+547),"")</f>
        <v/>
      </c>
      <c r="K7" s="20"/>
      <c r="L7" s="18"/>
      <c r="M7" s="18"/>
    </row>
    <row r="8" spans="7:13" ht="47.25" x14ac:dyDescent="0.25">
      <c r="G8" s="35" t="s">
        <v>22</v>
      </c>
      <c r="H8" s="19"/>
      <c r="I8" s="20"/>
      <c r="J8" s="21" t="str" cm="1">
        <f t="array" ref="J8">_xlfn.IFNA(_xlfn.IFS(I8="","",AND(I8="כן",NOT(H8="")),H8+547),"")</f>
        <v/>
      </c>
      <c r="K8" s="20"/>
      <c r="L8" s="18"/>
      <c r="M8" s="18"/>
    </row>
    <row r="9" spans="7:13" x14ac:dyDescent="0.25">
      <c r="G9" s="18"/>
      <c r="H9" s="18"/>
      <c r="I9" s="18"/>
      <c r="J9" s="18"/>
      <c r="K9" s="18"/>
      <c r="L9" s="18"/>
      <c r="M9" s="18"/>
    </row>
    <row r="10" spans="7:13" x14ac:dyDescent="0.25">
      <c r="G10" s="22" t="s">
        <v>37</v>
      </c>
      <c r="H10" s="18"/>
      <c r="I10" s="18"/>
      <c r="J10" s="18"/>
      <c r="K10" s="18"/>
      <c r="L10" s="18"/>
      <c r="M10" s="18"/>
    </row>
    <row r="11" spans="7:13" ht="15.75" customHeight="1" x14ac:dyDescent="0.25">
      <c r="G11" s="101" t="s">
        <v>102</v>
      </c>
      <c r="H11" s="101"/>
      <c r="I11" s="33"/>
      <c r="J11" s="33"/>
      <c r="K11" s="18"/>
      <c r="L11" s="18"/>
      <c r="M11" s="18"/>
    </row>
    <row r="12" spans="7:13" x14ac:dyDescent="0.25">
      <c r="G12" s="18"/>
      <c r="H12" s="18"/>
      <c r="I12" s="18"/>
      <c r="J12" s="18"/>
      <c r="K12" s="18"/>
      <c r="L12" s="18"/>
      <c r="M12" s="18"/>
    </row>
    <row r="13" spans="7:13" x14ac:dyDescent="0.25">
      <c r="G13" s="18"/>
      <c r="H13" s="18"/>
      <c r="I13" s="18"/>
      <c r="J13" s="18"/>
      <c r="K13" s="18"/>
      <c r="L13" s="18"/>
      <c r="M13" s="18"/>
    </row>
    <row r="14" spans="7:13" x14ac:dyDescent="0.25">
      <c r="G14" s="18"/>
      <c r="H14" s="18"/>
      <c r="I14" s="18"/>
      <c r="J14" s="18"/>
      <c r="K14" s="18"/>
      <c r="L14" s="18"/>
      <c r="M14" s="18"/>
    </row>
    <row r="15" spans="7:13" x14ac:dyDescent="0.25">
      <c r="G15" s="18"/>
      <c r="H15" s="18"/>
      <c r="I15" s="18"/>
      <c r="J15" s="18"/>
      <c r="K15" s="18"/>
      <c r="L15" s="18"/>
      <c r="M15" s="18"/>
    </row>
  </sheetData>
  <mergeCells count="2">
    <mergeCell ref="G2:K2"/>
    <mergeCell ref="G11:H11"/>
  </mergeCells>
  <dataValidations count="1">
    <dataValidation type="list" allowBlank="1" showInputMessage="1" showErrorMessage="1" sqref="I5:I8" xr:uid="{AAA7F448-AD74-406D-8C1B-AE9C91D7F8FC}">
      <formula1>"לא,כן"</formula1>
    </dataValidation>
  </dataValidations>
  <hyperlinks>
    <hyperlink ref="G11" r:id="rId1" xr:uid="{68EA9774-8DE7-4E6C-91F9-C75ECD65328B}"/>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D2177-B483-4EFD-A886-C40FC7AF06C5}">
  <sheetPr codeName="גיליון5"/>
  <dimension ref="B2:L22"/>
  <sheetViews>
    <sheetView showGridLines="0" showRowColHeaders="0" rightToLeft="1" zoomScaleNormal="100" workbookViewId="0"/>
  </sheetViews>
  <sheetFormatPr defaultColWidth="9" defaultRowHeight="15.75" x14ac:dyDescent="0.2"/>
  <cols>
    <col min="1" max="1" width="3.625" style="2" customWidth="1"/>
    <col min="2" max="5" width="10.625" style="2" customWidth="1"/>
    <col min="6" max="6" width="3.625" style="2" customWidth="1"/>
    <col min="7" max="7" width="60.625" style="2" customWidth="1"/>
    <col min="8" max="11" width="15.625" style="2" customWidth="1"/>
    <col min="12" max="12" width="3.625" style="2" customWidth="1"/>
    <col min="13" max="16384" width="9" style="2"/>
  </cols>
  <sheetData>
    <row r="2" spans="2:12" ht="31.5" x14ac:dyDescent="0.2">
      <c r="G2" s="100" t="s">
        <v>38</v>
      </c>
      <c r="H2" s="100"/>
      <c r="I2" s="100"/>
      <c r="J2" s="100"/>
      <c r="K2" s="100"/>
      <c r="L2" s="1"/>
    </row>
    <row r="3" spans="2:12" ht="21" x14ac:dyDescent="0.2">
      <c r="G3" s="103" t="s">
        <v>74</v>
      </c>
      <c r="H3" s="103"/>
      <c r="I3" s="103"/>
      <c r="J3" s="103"/>
      <c r="K3" s="103"/>
      <c r="L3" s="1"/>
    </row>
    <row r="4" spans="2:12" x14ac:dyDescent="0.2">
      <c r="B4" s="32"/>
      <c r="C4" s="32"/>
      <c r="D4" s="32"/>
      <c r="E4" s="32"/>
      <c r="G4" s="32"/>
      <c r="H4" s="32"/>
      <c r="I4" s="32"/>
      <c r="J4" s="32"/>
      <c r="K4" s="32"/>
    </row>
    <row r="5" spans="2:12" ht="31.5" x14ac:dyDescent="0.2">
      <c r="B5" s="32"/>
      <c r="C5" s="32"/>
      <c r="D5" s="32"/>
      <c r="E5" s="32"/>
      <c r="G5" s="34" t="s">
        <v>0</v>
      </c>
      <c r="H5" s="34" t="s">
        <v>1</v>
      </c>
      <c r="I5" s="34" t="s">
        <v>2</v>
      </c>
      <c r="J5" s="34" t="s">
        <v>4</v>
      </c>
      <c r="K5" s="34" t="s">
        <v>3</v>
      </c>
    </row>
    <row r="6" spans="2:12" ht="31.5" x14ac:dyDescent="0.2">
      <c r="B6" s="32"/>
      <c r="C6" s="32"/>
      <c r="D6" s="32"/>
      <c r="E6" s="32"/>
      <c r="G6" s="35" t="s">
        <v>118</v>
      </c>
      <c r="H6" s="19"/>
      <c r="I6" s="20"/>
      <c r="J6" s="21" t="str" cm="1">
        <f t="array" ref="J6">_xlfn.IFNA(_xlfn.IFS(I6="","",AND(I6="כן",NOT(H6="")),H6+547),"")</f>
        <v/>
      </c>
      <c r="K6" s="20"/>
    </row>
    <row r="7" spans="2:12" x14ac:dyDescent="0.2">
      <c r="B7" s="32"/>
      <c r="C7" s="32"/>
      <c r="D7" s="32"/>
      <c r="E7" s="32"/>
      <c r="G7" s="35" t="s">
        <v>157</v>
      </c>
      <c r="H7" s="19"/>
      <c r="I7" s="20"/>
      <c r="J7" s="21" t="str" cm="1">
        <f t="array" ref="J7">_xlfn.IFNA(_xlfn.IFS(I7="","",AND(I7="כן",NOT(H7="")),H7+547),"")</f>
        <v/>
      </c>
      <c r="K7" s="20"/>
    </row>
    <row r="8" spans="2:12" ht="47.25" x14ac:dyDescent="0.2">
      <c r="B8" s="32"/>
      <c r="C8" s="32"/>
      <c r="D8" s="32"/>
      <c r="E8" s="32"/>
      <c r="G8" s="36" t="s">
        <v>111</v>
      </c>
      <c r="H8" s="19"/>
      <c r="I8" s="20"/>
      <c r="J8" s="21" t="str" cm="1">
        <f t="array" ref="J8">_xlfn.IFNA(_xlfn.IFS(I8="","",AND(I8="כן",NOT(H8="")),H8+547),"")</f>
        <v/>
      </c>
      <c r="K8" s="20"/>
    </row>
    <row r="9" spans="2:12" ht="31.5" x14ac:dyDescent="0.2">
      <c r="B9" s="32"/>
      <c r="C9" s="32"/>
      <c r="D9" s="32"/>
      <c r="E9" s="32"/>
      <c r="G9" s="36" t="s">
        <v>119</v>
      </c>
      <c r="H9" s="19"/>
      <c r="I9" s="20"/>
      <c r="J9" s="21" t="str" cm="1">
        <f t="array" ref="J9">_xlfn.IFNA(_xlfn.IFS(I9="","",AND(I9="כן",NOT(H9="")),H9+547),"")</f>
        <v/>
      </c>
      <c r="K9" s="20"/>
    </row>
    <row r="10" spans="2:12" x14ac:dyDescent="0.2">
      <c r="B10" s="32"/>
      <c r="C10" s="32"/>
      <c r="D10" s="32"/>
      <c r="E10" s="32"/>
      <c r="G10" s="32"/>
      <c r="H10" s="22"/>
      <c r="I10" s="22"/>
      <c r="J10" s="22"/>
      <c r="K10" s="22"/>
    </row>
    <row r="11" spans="2:12" ht="15.75" customHeight="1" x14ac:dyDescent="0.2">
      <c r="B11" s="32"/>
      <c r="C11" s="32"/>
      <c r="D11" s="32"/>
      <c r="E11" s="32"/>
      <c r="G11" s="22" t="s">
        <v>37</v>
      </c>
      <c r="H11" s="102"/>
      <c r="I11" s="102"/>
      <c r="J11" s="102"/>
      <c r="K11" s="33"/>
    </row>
    <row r="12" spans="2:12" x14ac:dyDescent="0.2">
      <c r="B12" s="32"/>
      <c r="C12" s="32"/>
      <c r="D12" s="32"/>
      <c r="E12" s="32"/>
      <c r="G12" s="23" t="s">
        <v>103</v>
      </c>
      <c r="H12" s="32"/>
      <c r="I12" s="32"/>
      <c r="J12" s="32"/>
      <c r="K12" s="32"/>
    </row>
    <row r="13" spans="2:12" x14ac:dyDescent="0.2">
      <c r="B13" s="32"/>
      <c r="C13" s="32"/>
      <c r="D13" s="32"/>
      <c r="E13" s="32"/>
      <c r="G13" s="32"/>
      <c r="H13" s="32"/>
      <c r="I13" s="32"/>
      <c r="J13" s="32"/>
      <c r="K13" s="32"/>
    </row>
    <row r="14" spans="2:12" x14ac:dyDescent="0.2">
      <c r="B14" s="32"/>
      <c r="C14" s="32"/>
      <c r="D14" s="32"/>
      <c r="E14" s="32"/>
    </row>
    <row r="15" spans="2:12" x14ac:dyDescent="0.2">
      <c r="B15" s="32"/>
      <c r="C15" s="32"/>
      <c r="D15" s="32"/>
      <c r="E15" s="32"/>
    </row>
    <row r="16" spans="2:12" x14ac:dyDescent="0.2">
      <c r="B16" s="32"/>
      <c r="C16" s="32"/>
      <c r="D16" s="32"/>
      <c r="E16" s="32"/>
    </row>
    <row r="17" spans="2:5" x14ac:dyDescent="0.2">
      <c r="B17" s="32"/>
      <c r="C17" s="32"/>
      <c r="D17" s="32"/>
      <c r="E17" s="32"/>
    </row>
    <row r="18" spans="2:5" x14ac:dyDescent="0.2">
      <c r="B18" s="32"/>
      <c r="C18" s="32"/>
      <c r="D18" s="32"/>
      <c r="E18" s="32"/>
    </row>
    <row r="19" spans="2:5" x14ac:dyDescent="0.2">
      <c r="B19" s="32"/>
      <c r="C19" s="32"/>
      <c r="D19" s="32"/>
      <c r="E19" s="32"/>
    </row>
    <row r="20" spans="2:5" x14ac:dyDescent="0.2">
      <c r="B20" s="32"/>
      <c r="C20" s="32"/>
      <c r="D20" s="32"/>
      <c r="E20" s="32"/>
    </row>
    <row r="21" spans="2:5" x14ac:dyDescent="0.2">
      <c r="B21" s="32"/>
      <c r="C21" s="32"/>
      <c r="D21" s="32"/>
      <c r="E21" s="32"/>
    </row>
    <row r="22" spans="2:5" x14ac:dyDescent="0.2">
      <c r="B22" s="32"/>
      <c r="C22" s="32"/>
      <c r="D22" s="32"/>
      <c r="E22" s="32"/>
    </row>
  </sheetData>
  <mergeCells count="3">
    <mergeCell ref="H11:J11"/>
    <mergeCell ref="G2:K2"/>
    <mergeCell ref="G3:K3"/>
  </mergeCells>
  <dataValidations count="1">
    <dataValidation type="list" allowBlank="1" showInputMessage="1" showErrorMessage="1" sqref="I6:I9" xr:uid="{98D28E52-188C-455C-804E-786C47B8585D}">
      <formula1>"לא,כן"</formula1>
    </dataValidation>
  </dataValidations>
  <hyperlinks>
    <hyperlink ref="G12" r:id="rId1" xr:uid="{2D247147-307E-4366-B76B-02FD3C9A821B}"/>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5D566-C673-41D4-A09F-D5E3677C6209}">
  <dimension ref="G2:L18"/>
  <sheetViews>
    <sheetView showGridLines="0" showRowColHeaders="0" rightToLeft="1" zoomScaleNormal="100" workbookViewId="0"/>
  </sheetViews>
  <sheetFormatPr defaultColWidth="9" defaultRowHeight="15.75" x14ac:dyDescent="0.2"/>
  <cols>
    <col min="1" max="1" width="3.625" style="2" customWidth="1"/>
    <col min="2" max="5" width="10.625" style="2" customWidth="1"/>
    <col min="6" max="6" width="3.625" style="2" customWidth="1"/>
    <col min="7" max="7" width="60.625" style="2" customWidth="1"/>
    <col min="8" max="11" width="15.625" style="2" customWidth="1"/>
    <col min="12" max="12" width="3.625" style="2" customWidth="1"/>
    <col min="13" max="16384" width="9" style="2"/>
  </cols>
  <sheetData>
    <row r="2" spans="7:12" ht="31.5" x14ac:dyDescent="0.2">
      <c r="G2" s="100" t="s">
        <v>108</v>
      </c>
      <c r="H2" s="100"/>
      <c r="I2" s="100"/>
      <c r="J2" s="100"/>
      <c r="K2" s="100"/>
      <c r="L2" s="32"/>
    </row>
    <row r="3" spans="7:12" x14ac:dyDescent="0.2">
      <c r="G3" s="32"/>
      <c r="H3" s="32"/>
      <c r="I3" s="32"/>
      <c r="J3" s="32"/>
      <c r="K3" s="32"/>
      <c r="L3" s="32"/>
    </row>
    <row r="4" spans="7:12" ht="31.5" x14ac:dyDescent="0.2">
      <c r="G4" s="71" t="s">
        <v>0</v>
      </c>
      <c r="H4" s="71" t="s">
        <v>1</v>
      </c>
      <c r="I4" s="71" t="s">
        <v>2</v>
      </c>
      <c r="J4" s="71" t="s">
        <v>4</v>
      </c>
      <c r="K4" s="71" t="s">
        <v>3</v>
      </c>
      <c r="L4" s="32"/>
    </row>
    <row r="5" spans="7:12" ht="31.5" x14ac:dyDescent="0.2">
      <c r="G5" s="36" t="s">
        <v>98</v>
      </c>
      <c r="H5" s="19"/>
      <c r="I5" s="20"/>
      <c r="J5" s="21" t="str" cm="1">
        <f t="array" ref="J5">_xlfn.IFNA(_xlfn.IFS(I5="","",AND(I5="כן",NOT(H5="")),H5+547),"")</f>
        <v/>
      </c>
      <c r="K5" s="20"/>
      <c r="L5" s="32"/>
    </row>
    <row r="6" spans="7:12" x14ac:dyDescent="0.2">
      <c r="G6" s="36" t="s">
        <v>109</v>
      </c>
      <c r="H6" s="19"/>
      <c r="I6" s="20"/>
      <c r="J6" s="21"/>
      <c r="K6" s="20"/>
      <c r="L6" s="32"/>
    </row>
    <row r="7" spans="7:12" x14ac:dyDescent="0.2">
      <c r="G7" s="36" t="s">
        <v>110</v>
      </c>
      <c r="H7" s="19"/>
      <c r="I7" s="20"/>
      <c r="J7" s="21" t="str" cm="1">
        <f t="array" ref="J7">_xlfn.IFNA(_xlfn.IFS(I7="","",AND(I7="כן",NOT(H7="")),H7+547),"")</f>
        <v/>
      </c>
      <c r="K7" s="20"/>
      <c r="L7" s="32"/>
    </row>
    <row r="8" spans="7:12" ht="31.5" x14ac:dyDescent="0.2">
      <c r="G8" s="36" t="s">
        <v>99</v>
      </c>
      <c r="H8" s="19"/>
      <c r="I8" s="20"/>
      <c r="J8" s="21" t="str" cm="1">
        <f t="array" ref="J8">_xlfn.IFNA(_xlfn.IFS(I8="","",AND(I8="כן",NOT(H8="")),H8+547),"")</f>
        <v/>
      </c>
      <c r="K8" s="20"/>
      <c r="L8" s="32"/>
    </row>
    <row r="9" spans="7:12" x14ac:dyDescent="0.2">
      <c r="G9" s="36" t="s">
        <v>145</v>
      </c>
      <c r="H9" s="19"/>
      <c r="I9" s="20"/>
      <c r="J9" s="21" t="str" cm="1">
        <f t="array" ref="J9">_xlfn.IFNA(_xlfn.IFS(I9="","",AND(I9="כן",NOT(H9="")),H9+547),"")</f>
        <v/>
      </c>
      <c r="K9" s="20"/>
      <c r="L9" s="32"/>
    </row>
    <row r="10" spans="7:12" x14ac:dyDescent="0.2">
      <c r="G10" s="32"/>
      <c r="H10" s="32"/>
      <c r="I10" s="32"/>
      <c r="J10" s="32"/>
      <c r="K10" s="32"/>
      <c r="L10" s="32"/>
    </row>
    <row r="11" spans="7:12" x14ac:dyDescent="0.2">
      <c r="G11" s="32"/>
      <c r="H11" s="32"/>
      <c r="I11" s="32"/>
      <c r="J11" s="32"/>
      <c r="K11" s="32"/>
      <c r="L11" s="32"/>
    </row>
    <row r="12" spans="7:12" x14ac:dyDescent="0.2">
      <c r="G12" s="32"/>
      <c r="H12" s="32"/>
      <c r="I12" s="32"/>
      <c r="J12" s="32"/>
      <c r="K12" s="32"/>
      <c r="L12" s="32"/>
    </row>
    <row r="13" spans="7:12" x14ac:dyDescent="0.2">
      <c r="G13" s="32"/>
      <c r="H13" s="32"/>
      <c r="I13" s="32"/>
      <c r="J13" s="32"/>
      <c r="K13" s="32"/>
      <c r="L13" s="32"/>
    </row>
    <row r="14" spans="7:12" x14ac:dyDescent="0.2">
      <c r="G14" s="32"/>
      <c r="H14" s="32"/>
      <c r="I14" s="32"/>
      <c r="J14" s="32"/>
      <c r="K14" s="32"/>
      <c r="L14" s="32"/>
    </row>
    <row r="15" spans="7:12" x14ac:dyDescent="0.2">
      <c r="G15" s="32"/>
      <c r="H15" s="32"/>
      <c r="I15" s="32"/>
      <c r="J15" s="32"/>
      <c r="K15" s="32"/>
      <c r="L15" s="32"/>
    </row>
    <row r="16" spans="7:12" x14ac:dyDescent="0.2">
      <c r="G16" s="32"/>
      <c r="H16" s="32"/>
      <c r="I16" s="32"/>
      <c r="J16" s="32"/>
      <c r="K16" s="32"/>
      <c r="L16" s="32"/>
    </row>
    <row r="17" spans="7:12" x14ac:dyDescent="0.2">
      <c r="G17" s="32"/>
      <c r="H17" s="32"/>
      <c r="I17" s="32"/>
      <c r="J17" s="32"/>
      <c r="K17" s="32"/>
      <c r="L17" s="32"/>
    </row>
    <row r="18" spans="7:12" x14ac:dyDescent="0.2">
      <c r="G18" s="32"/>
      <c r="H18" s="32"/>
      <c r="I18" s="32"/>
      <c r="J18" s="32"/>
      <c r="K18" s="32"/>
      <c r="L18" s="32"/>
    </row>
  </sheetData>
  <mergeCells count="1">
    <mergeCell ref="G2:K2"/>
  </mergeCells>
  <dataValidations count="1">
    <dataValidation type="list" allowBlank="1" showInputMessage="1" showErrorMessage="1" sqref="I5:I9" xr:uid="{B30E26A4-F527-4BE8-B991-FBB1D3B8D8D4}">
      <formula1>"לא,כן"</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AA685-BD25-49A6-A9C6-ABE1B0AE4BB9}">
  <sheetPr codeName="גיליון6"/>
  <dimension ref="G2:L20"/>
  <sheetViews>
    <sheetView showGridLines="0" showRowColHeaders="0" rightToLeft="1" zoomScaleNormal="100" workbookViewId="0"/>
  </sheetViews>
  <sheetFormatPr defaultColWidth="9" defaultRowHeight="15.75" x14ac:dyDescent="0.2"/>
  <cols>
    <col min="1" max="1" width="3.625" style="2" customWidth="1"/>
    <col min="2" max="5" width="10.625" style="2" customWidth="1"/>
    <col min="6" max="6" width="3.625" style="2" customWidth="1"/>
    <col min="7" max="7" width="60.625" style="2" customWidth="1"/>
    <col min="8" max="12" width="15.625" style="3" customWidth="1"/>
    <col min="13" max="13" width="3.625" style="2" customWidth="1"/>
    <col min="14" max="16384" width="9" style="2"/>
  </cols>
  <sheetData>
    <row r="2" spans="7:12" ht="31.5" x14ac:dyDescent="0.2">
      <c r="G2" s="100" t="s">
        <v>112</v>
      </c>
      <c r="H2" s="95"/>
      <c r="I2" s="95"/>
      <c r="J2" s="95"/>
      <c r="K2" s="95"/>
      <c r="L2" s="95"/>
    </row>
    <row r="3" spans="7:12" x14ac:dyDescent="0.2">
      <c r="G3" s="32"/>
      <c r="H3" s="37"/>
      <c r="I3" s="37"/>
      <c r="J3" s="37"/>
      <c r="K3" s="37"/>
      <c r="L3" s="37"/>
    </row>
    <row r="4" spans="7:12" x14ac:dyDescent="0.2">
      <c r="G4" s="34" t="s">
        <v>0</v>
      </c>
      <c r="H4" s="34" t="s">
        <v>23</v>
      </c>
      <c r="I4" s="34" t="s">
        <v>24</v>
      </c>
      <c r="J4" s="34" t="s">
        <v>25</v>
      </c>
      <c r="K4" s="34" t="s">
        <v>26</v>
      </c>
      <c r="L4" s="34" t="s">
        <v>27</v>
      </c>
    </row>
    <row r="5" spans="7:12" x14ac:dyDescent="0.2">
      <c r="G5" s="35" t="s">
        <v>63</v>
      </c>
      <c r="H5" s="19"/>
      <c r="I5" s="19"/>
      <c r="J5" s="38"/>
      <c r="K5" s="19"/>
      <c r="L5" s="40"/>
    </row>
    <row r="6" spans="7:12" x14ac:dyDescent="0.2">
      <c r="G6" s="35" t="s">
        <v>79</v>
      </c>
      <c r="H6" s="19"/>
      <c r="I6" s="19"/>
      <c r="J6" s="38"/>
      <c r="K6" s="19"/>
      <c r="L6" s="40"/>
    </row>
    <row r="7" spans="7:12" ht="31.5" x14ac:dyDescent="0.2">
      <c r="G7" s="35" t="s">
        <v>64</v>
      </c>
      <c r="H7" s="19"/>
      <c r="I7" s="19"/>
      <c r="J7" s="38"/>
      <c r="K7" s="19"/>
      <c r="L7" s="40"/>
    </row>
    <row r="8" spans="7:12" ht="31.5" x14ac:dyDescent="0.2">
      <c r="G8" s="35" t="s">
        <v>65</v>
      </c>
      <c r="H8" s="19"/>
      <c r="I8" s="19"/>
      <c r="J8" s="38"/>
      <c r="K8" s="19"/>
      <c r="L8" s="40"/>
    </row>
    <row r="9" spans="7:12" ht="31.5" x14ac:dyDescent="0.2">
      <c r="G9" s="35" t="s">
        <v>96</v>
      </c>
      <c r="H9" s="19"/>
      <c r="I9" s="19"/>
      <c r="J9" s="38"/>
      <c r="K9" s="19"/>
      <c r="L9" s="40"/>
    </row>
    <row r="10" spans="7:12" ht="31.5" x14ac:dyDescent="0.2">
      <c r="G10" s="35" t="s">
        <v>97</v>
      </c>
      <c r="H10" s="19"/>
      <c r="I10" s="19"/>
      <c r="J10" s="38"/>
      <c r="K10" s="19"/>
      <c r="L10" s="40" t="str">
        <f>_xlfn.IFNA(IF(I10="","",I10+365),"")</f>
        <v/>
      </c>
    </row>
    <row r="11" spans="7:12" ht="31.5" x14ac:dyDescent="0.2">
      <c r="G11" s="41" t="s">
        <v>138</v>
      </c>
      <c r="H11" s="19"/>
      <c r="I11" s="19"/>
      <c r="J11" s="38"/>
      <c r="K11" s="19"/>
      <c r="L11" s="40"/>
    </row>
    <row r="12" spans="7:12" x14ac:dyDescent="0.2">
      <c r="G12" s="32"/>
      <c r="H12" s="37"/>
      <c r="I12" s="37"/>
      <c r="J12" s="37"/>
      <c r="K12" s="37"/>
      <c r="L12" s="37"/>
    </row>
    <row r="13" spans="7:12" x14ac:dyDescent="0.2">
      <c r="G13" s="22" t="s">
        <v>37</v>
      </c>
      <c r="H13" s="37"/>
      <c r="I13" s="37"/>
      <c r="J13" s="37"/>
      <c r="K13" s="37"/>
      <c r="L13" s="37"/>
    </row>
    <row r="14" spans="7:12" x14ac:dyDescent="0.2">
      <c r="G14" s="39" t="s">
        <v>100</v>
      </c>
      <c r="H14" s="102"/>
      <c r="I14" s="102"/>
      <c r="J14" s="102"/>
      <c r="K14" s="102"/>
      <c r="L14" s="37"/>
    </row>
    <row r="15" spans="7:12" x14ac:dyDescent="0.2">
      <c r="G15" s="32"/>
      <c r="H15" s="37"/>
      <c r="I15" s="37"/>
      <c r="J15" s="37"/>
      <c r="K15" s="37"/>
      <c r="L15" s="37"/>
    </row>
    <row r="16" spans="7:12" x14ac:dyDescent="0.2">
      <c r="G16" s="32"/>
      <c r="H16" s="37"/>
      <c r="I16" s="37"/>
      <c r="J16" s="37"/>
      <c r="K16" s="37"/>
      <c r="L16" s="37"/>
    </row>
    <row r="17" spans="7:12" x14ac:dyDescent="0.2">
      <c r="G17" s="32"/>
      <c r="H17" s="37"/>
      <c r="I17" s="37"/>
      <c r="J17" s="37"/>
      <c r="K17" s="37"/>
      <c r="L17" s="37"/>
    </row>
    <row r="18" spans="7:12" x14ac:dyDescent="0.2">
      <c r="G18" s="32"/>
      <c r="H18" s="37"/>
      <c r="I18" s="37"/>
      <c r="J18" s="37"/>
      <c r="K18" s="37"/>
      <c r="L18" s="37"/>
    </row>
    <row r="19" spans="7:12" x14ac:dyDescent="0.2">
      <c r="G19" s="32"/>
      <c r="H19" s="37"/>
      <c r="I19" s="37"/>
      <c r="J19" s="37"/>
      <c r="K19" s="37"/>
      <c r="L19" s="37"/>
    </row>
    <row r="20" spans="7:12" x14ac:dyDescent="0.2">
      <c r="G20" s="32"/>
      <c r="H20" s="37"/>
      <c r="I20" s="37"/>
      <c r="J20" s="37"/>
      <c r="K20" s="37"/>
      <c r="L20" s="37"/>
    </row>
  </sheetData>
  <mergeCells count="2">
    <mergeCell ref="H14:K14"/>
    <mergeCell ref="G2:L2"/>
  </mergeCells>
  <hyperlinks>
    <hyperlink ref="G14" r:id="rId1" xr:uid="{124C026F-BB1A-4589-843E-095D799519C6}"/>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569A9-8BED-492C-9A76-2ADDD1EC2BAA}">
  <sheetPr codeName="גיליון8"/>
  <dimension ref="G2:K17"/>
  <sheetViews>
    <sheetView showGridLines="0" showRowColHeaders="0" rightToLeft="1" zoomScaleNormal="100" workbookViewId="0"/>
  </sheetViews>
  <sheetFormatPr defaultColWidth="9" defaultRowHeight="15.75" x14ac:dyDescent="0.2"/>
  <cols>
    <col min="1" max="1" width="3.625" style="2" customWidth="1"/>
    <col min="2" max="5" width="10.625" style="2" customWidth="1"/>
    <col min="6" max="6" width="3.625" style="2" customWidth="1"/>
    <col min="7" max="7" width="60.625" style="2" customWidth="1"/>
    <col min="8" max="9" width="15.625" style="3" customWidth="1"/>
    <col min="10" max="10" width="35.625" style="3" customWidth="1"/>
    <col min="11" max="11" width="15.625" style="3" customWidth="1"/>
    <col min="12" max="12" width="3.625" style="2" customWidth="1"/>
    <col min="13" max="16384" width="9" style="2"/>
  </cols>
  <sheetData>
    <row r="2" spans="7:11" ht="31.5" x14ac:dyDescent="0.2">
      <c r="G2" s="100" t="s">
        <v>32</v>
      </c>
      <c r="H2" s="100"/>
      <c r="I2" s="100"/>
      <c r="J2" s="100"/>
      <c r="K2" s="100"/>
    </row>
    <row r="3" spans="7:11" x14ac:dyDescent="0.2">
      <c r="G3" s="32"/>
      <c r="H3" s="37"/>
      <c r="I3" s="37"/>
      <c r="J3" s="37"/>
      <c r="K3" s="37"/>
    </row>
    <row r="4" spans="7:11" x14ac:dyDescent="0.2">
      <c r="G4" s="34" t="s">
        <v>0</v>
      </c>
      <c r="H4" s="34" t="s">
        <v>1</v>
      </c>
      <c r="I4" s="34" t="s">
        <v>2</v>
      </c>
      <c r="J4" s="34" t="s">
        <v>4</v>
      </c>
      <c r="K4" s="34" t="s">
        <v>3</v>
      </c>
    </row>
    <row r="5" spans="7:11" x14ac:dyDescent="0.2">
      <c r="G5" s="44" t="s">
        <v>66</v>
      </c>
      <c r="H5" s="42"/>
      <c r="I5" s="43"/>
      <c r="J5" s="45"/>
      <c r="K5" s="43"/>
    </row>
    <row r="6" spans="7:11" x14ac:dyDescent="0.2">
      <c r="G6" s="44" t="s">
        <v>67</v>
      </c>
      <c r="H6" s="42"/>
      <c r="I6" s="43"/>
      <c r="J6" s="45"/>
      <c r="K6" s="43"/>
    </row>
    <row r="7" spans="7:11" x14ac:dyDescent="0.2">
      <c r="G7" s="44" t="s">
        <v>120</v>
      </c>
      <c r="H7" s="42"/>
      <c r="I7" s="43"/>
      <c r="J7" s="45"/>
      <c r="K7" s="43"/>
    </row>
    <row r="8" spans="7:11" ht="31.5" x14ac:dyDescent="0.2">
      <c r="G8" s="44" t="s">
        <v>78</v>
      </c>
      <c r="H8" s="42"/>
      <c r="I8" s="43"/>
      <c r="J8" s="45"/>
      <c r="K8" s="43"/>
    </row>
    <row r="9" spans="7:11" x14ac:dyDescent="0.2">
      <c r="G9" s="44" t="s">
        <v>121</v>
      </c>
      <c r="H9" s="42"/>
      <c r="I9" s="43"/>
      <c r="J9" s="45"/>
      <c r="K9" s="43"/>
    </row>
    <row r="10" spans="7:11" ht="31.5" x14ac:dyDescent="0.2">
      <c r="G10" s="44" t="s">
        <v>122</v>
      </c>
      <c r="H10" s="42"/>
      <c r="I10" s="43"/>
      <c r="J10" s="45" t="str" cm="1">
        <f t="array" ref="J10">_xlfn.IFNA(_xlfn.IFS(I10="","",AND(I10="כן",NOT(H10="")),H10+546),"")</f>
        <v/>
      </c>
      <c r="K10" s="43"/>
    </row>
    <row r="11" spans="7:11" ht="31.5" x14ac:dyDescent="0.2">
      <c r="G11" s="44" t="s">
        <v>123</v>
      </c>
      <c r="H11" s="42"/>
      <c r="I11" s="43"/>
      <c r="J11" s="45" t="str" cm="1">
        <f t="array" ref="J11">_xlfn.IFNA(_xlfn.IFS(I11="","",AND(I11="כן",NOT(H11="")),H11+546),"")</f>
        <v/>
      </c>
      <c r="K11" s="43"/>
    </row>
    <row r="12" spans="7:11" ht="31.5" x14ac:dyDescent="0.2">
      <c r="G12" s="44" t="s">
        <v>71</v>
      </c>
      <c r="H12" s="42"/>
      <c r="I12" s="43"/>
      <c r="J12" s="45"/>
      <c r="K12" s="43"/>
    </row>
    <row r="13" spans="7:11" ht="31.5" x14ac:dyDescent="0.2">
      <c r="G13" s="44" t="s">
        <v>72</v>
      </c>
      <c r="H13" s="42"/>
      <c r="I13" s="43"/>
      <c r="J13" s="45"/>
      <c r="K13" s="43"/>
    </row>
    <row r="14" spans="7:11" ht="31.5" x14ac:dyDescent="0.2">
      <c r="G14" s="44" t="s">
        <v>73</v>
      </c>
      <c r="H14" s="42"/>
      <c r="I14" s="43"/>
      <c r="J14" s="45" t="str" cm="1">
        <f t="array" ref="J14">_xlfn.IFNA(_xlfn.IFS(I14="","",AND(I14="כן",NOT(H14="")),H14+729),"")</f>
        <v/>
      </c>
      <c r="K14" s="43"/>
    </row>
    <row r="15" spans="7:11" x14ac:dyDescent="0.2">
      <c r="G15" s="44" t="s">
        <v>124</v>
      </c>
      <c r="H15" s="42"/>
      <c r="I15" s="43"/>
      <c r="J15" s="45" t="str" cm="1">
        <f t="array" ref="J15">_xlfn.IFNA(_xlfn.IFS(I15="","",AND(I15="כן",NOT(H15="")),H15+364),"")</f>
        <v/>
      </c>
      <c r="K15" s="43"/>
    </row>
    <row r="16" spans="7:11" ht="31.5" x14ac:dyDescent="0.2">
      <c r="G16" s="46" t="s">
        <v>125</v>
      </c>
      <c r="H16" s="42"/>
      <c r="I16" s="43"/>
      <c r="J16" s="45" t="str" cm="1">
        <f t="array" ref="J16">_xlfn.IFNA(_xlfn.IFS(I16="","",AND(I16="כן",NOT(H16="")),"אחת לשנה - עד ה-31/12"),"")</f>
        <v/>
      </c>
      <c r="K16" s="43"/>
    </row>
    <row r="17" spans="7:11" x14ac:dyDescent="0.2">
      <c r="G17" s="32"/>
      <c r="H17" s="37"/>
      <c r="I17" s="37"/>
      <c r="J17" s="37"/>
      <c r="K17" s="37"/>
    </row>
  </sheetData>
  <mergeCells count="1">
    <mergeCell ref="G2:K2"/>
  </mergeCells>
  <phoneticPr fontId="2" type="noConversion"/>
  <dataValidations count="1">
    <dataValidation type="list" allowBlank="1" showInputMessage="1" showErrorMessage="1" sqref="I5:I16" xr:uid="{74670121-E3AD-476A-AF3A-A9FAAD9B0DF8}">
      <formula1>"לא,כן"</formula1>
    </dataValidation>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F4F5A-1F3A-4847-A8A7-CA2B82A16A09}">
  <sheetPr codeName="גיליון10"/>
  <dimension ref="G2:K17"/>
  <sheetViews>
    <sheetView showGridLines="0" showRowColHeaders="0" rightToLeft="1" zoomScaleNormal="100" workbookViewId="0"/>
  </sheetViews>
  <sheetFormatPr defaultColWidth="9" defaultRowHeight="15.75" x14ac:dyDescent="0.2"/>
  <cols>
    <col min="1" max="1" width="3.625" style="2" customWidth="1"/>
    <col min="2" max="5" width="10.625" style="2" customWidth="1"/>
    <col min="6" max="6" width="3.625" style="2" customWidth="1"/>
    <col min="7" max="7" width="60.625" style="2" customWidth="1"/>
    <col min="8" max="11" width="15.625" style="3" customWidth="1"/>
    <col min="12" max="12" width="3.625" style="2" customWidth="1"/>
    <col min="13" max="16384" width="9" style="2"/>
  </cols>
  <sheetData>
    <row r="2" spans="7:11" ht="31.5" x14ac:dyDescent="0.2">
      <c r="G2" s="100" t="s">
        <v>17</v>
      </c>
      <c r="H2" s="100"/>
      <c r="I2" s="100"/>
      <c r="J2" s="100"/>
      <c r="K2" s="100"/>
    </row>
    <row r="3" spans="7:11" x14ac:dyDescent="0.2">
      <c r="G3" s="32"/>
      <c r="H3" s="37"/>
      <c r="I3" s="37"/>
      <c r="J3" s="37"/>
      <c r="K3" s="37"/>
    </row>
    <row r="4" spans="7:11" ht="47.25" x14ac:dyDescent="0.2">
      <c r="G4" s="34" t="s">
        <v>14</v>
      </c>
      <c r="H4" s="34" t="s">
        <v>15</v>
      </c>
      <c r="I4" s="34" t="s">
        <v>18</v>
      </c>
      <c r="J4" s="34" t="s">
        <v>36</v>
      </c>
      <c r="K4" s="34" t="s">
        <v>16</v>
      </c>
    </row>
    <row r="5" spans="7:11" x14ac:dyDescent="0.2">
      <c r="G5" s="49" t="s">
        <v>80</v>
      </c>
      <c r="H5" s="47" t="s">
        <v>81</v>
      </c>
      <c r="I5" s="20"/>
      <c r="J5" s="20"/>
      <c r="K5" s="19"/>
    </row>
    <row r="6" spans="7:11" x14ac:dyDescent="0.2">
      <c r="G6" s="49" t="s">
        <v>82</v>
      </c>
      <c r="H6" s="47" t="s">
        <v>83</v>
      </c>
      <c r="I6" s="20"/>
      <c r="J6" s="20"/>
      <c r="K6" s="19"/>
    </row>
    <row r="7" spans="7:11" x14ac:dyDescent="0.2">
      <c r="G7" s="49" t="s">
        <v>84</v>
      </c>
      <c r="H7" s="47" t="s">
        <v>85</v>
      </c>
      <c r="I7" s="20"/>
      <c r="J7" s="20"/>
      <c r="K7" s="19"/>
    </row>
    <row r="8" spans="7:11" ht="47.25" x14ac:dyDescent="0.2">
      <c r="G8" s="49" t="s">
        <v>86</v>
      </c>
      <c r="H8" s="47" t="s">
        <v>87</v>
      </c>
      <c r="I8" s="20"/>
      <c r="J8" s="20"/>
      <c r="K8" s="19"/>
    </row>
    <row r="9" spans="7:11" x14ac:dyDescent="0.2">
      <c r="G9" s="49" t="s">
        <v>88</v>
      </c>
      <c r="H9" s="47" t="s">
        <v>89</v>
      </c>
      <c r="I9" s="20"/>
      <c r="J9" s="20"/>
      <c r="K9" s="19"/>
    </row>
    <row r="10" spans="7:11" x14ac:dyDescent="0.2">
      <c r="G10" s="49" t="s">
        <v>90</v>
      </c>
      <c r="H10" s="48" t="s">
        <v>91</v>
      </c>
      <c r="I10" s="20"/>
      <c r="J10" s="20"/>
      <c r="K10" s="19"/>
    </row>
    <row r="11" spans="7:11" ht="31.5" x14ac:dyDescent="0.2">
      <c r="G11" s="49" t="s">
        <v>92</v>
      </c>
      <c r="H11" s="48" t="s">
        <v>93</v>
      </c>
      <c r="I11" s="20"/>
      <c r="J11" s="20"/>
      <c r="K11" s="19"/>
    </row>
    <row r="12" spans="7:11" x14ac:dyDescent="0.2">
      <c r="G12" s="32"/>
      <c r="H12" s="37"/>
      <c r="I12" s="37"/>
      <c r="J12" s="37"/>
      <c r="K12" s="37"/>
    </row>
    <row r="13" spans="7:11" x14ac:dyDescent="0.2">
      <c r="G13" s="32"/>
      <c r="H13" s="37"/>
      <c r="I13" s="37"/>
      <c r="J13" s="37"/>
      <c r="K13" s="37"/>
    </row>
    <row r="14" spans="7:11" x14ac:dyDescent="0.2">
      <c r="G14" s="32"/>
      <c r="H14" s="37"/>
      <c r="I14" s="37"/>
      <c r="J14" s="37"/>
      <c r="K14" s="37"/>
    </row>
    <row r="15" spans="7:11" x14ac:dyDescent="0.2">
      <c r="G15" s="32"/>
      <c r="H15" s="37"/>
      <c r="I15" s="37"/>
      <c r="J15" s="37"/>
      <c r="K15" s="37"/>
    </row>
    <row r="16" spans="7:11" x14ac:dyDescent="0.2">
      <c r="G16" s="32"/>
      <c r="H16" s="37"/>
      <c r="I16" s="37"/>
      <c r="J16" s="37"/>
      <c r="K16" s="37"/>
    </row>
    <row r="17" spans="7:11" x14ac:dyDescent="0.2">
      <c r="G17" s="32"/>
      <c r="H17" s="37"/>
      <c r="I17" s="37"/>
      <c r="J17" s="37"/>
      <c r="K17" s="37"/>
    </row>
  </sheetData>
  <mergeCells count="1">
    <mergeCell ref="G2:K2"/>
  </mergeCells>
  <dataValidations count="1">
    <dataValidation type="list" errorStyle="warning" allowBlank="1" showInputMessage="1" showErrorMessage="1" sqref="I5:I11" xr:uid="{36234373-2952-4DA9-B452-65B871A4E41C}">
      <formula1>"לא,כן"</formula1>
    </dataValidation>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35D2D-13F8-4842-8C37-91986BB808C1}">
  <sheetPr codeName="גיליון1"/>
  <dimension ref="G2:K14"/>
  <sheetViews>
    <sheetView showGridLines="0" showRowColHeaders="0" rightToLeft="1" zoomScaleNormal="100" workbookViewId="0"/>
  </sheetViews>
  <sheetFormatPr defaultColWidth="9" defaultRowHeight="15.75" x14ac:dyDescent="0.2"/>
  <cols>
    <col min="1" max="1" width="3.625" style="2" customWidth="1"/>
    <col min="2" max="5" width="10.625" style="2" customWidth="1"/>
    <col min="6" max="6" width="3.625" style="2" customWidth="1"/>
    <col min="7" max="7" width="60.625" style="2" customWidth="1"/>
    <col min="8" max="9" width="15.625" style="2" customWidth="1"/>
    <col min="10" max="10" width="24.25" style="2" customWidth="1"/>
    <col min="11" max="11" width="17.25" style="2" customWidth="1"/>
    <col min="12" max="12" width="3.625" style="2" customWidth="1"/>
    <col min="13" max="16384" width="9" style="2"/>
  </cols>
  <sheetData>
    <row r="2" spans="7:11" ht="31.5" x14ac:dyDescent="0.2">
      <c r="G2" s="100" t="s">
        <v>19</v>
      </c>
      <c r="H2" s="100"/>
      <c r="I2" s="100"/>
      <c r="J2" s="100"/>
      <c r="K2" s="100"/>
    </row>
    <row r="3" spans="7:11" x14ac:dyDescent="0.2">
      <c r="G3" s="32"/>
      <c r="H3" s="32"/>
      <c r="I3" s="32"/>
      <c r="J3" s="32"/>
      <c r="K3" s="32"/>
    </row>
    <row r="4" spans="7:11" x14ac:dyDescent="0.2">
      <c r="G4" s="34" t="s">
        <v>0</v>
      </c>
      <c r="H4" s="34" t="s">
        <v>1</v>
      </c>
      <c r="I4" s="34" t="s">
        <v>2</v>
      </c>
      <c r="J4" s="34" t="s">
        <v>4</v>
      </c>
      <c r="K4" s="34" t="s">
        <v>3</v>
      </c>
    </row>
    <row r="5" spans="7:11" ht="31.5" x14ac:dyDescent="0.2">
      <c r="G5" s="50" t="s">
        <v>126</v>
      </c>
      <c r="H5" s="51"/>
      <c r="I5" s="52"/>
      <c r="J5" s="21" t="str" cm="1">
        <f t="array" ref="J5">_xlfn.IFNA(_xlfn.IFS(I5="","",AND(I5="כן",NOT(H5="")),H5+547),"")</f>
        <v/>
      </c>
      <c r="K5" s="52"/>
    </row>
    <row r="6" spans="7:11" x14ac:dyDescent="0.2">
      <c r="G6" s="50" t="s">
        <v>139</v>
      </c>
      <c r="H6" s="51"/>
      <c r="I6" s="52"/>
      <c r="J6" s="21" t="str" cm="1">
        <f t="array" ref="J6">_xlfn.IFNA(_xlfn.IFS(I6="","",AND(I6="כן",NOT(H6="")),H6+547),"")</f>
        <v/>
      </c>
      <c r="K6" s="52"/>
    </row>
    <row r="7" spans="7:11" x14ac:dyDescent="0.2">
      <c r="G7" s="50" t="s">
        <v>75</v>
      </c>
      <c r="H7" s="51"/>
      <c r="I7" s="52"/>
      <c r="J7" s="21" t="str" cm="1">
        <f t="array" ref="J7">_xlfn.IFNA(_xlfn.IFS(I7="","",AND(I7="כן",NOT(H7="")),H7+547),"")</f>
        <v/>
      </c>
      <c r="K7" s="52"/>
    </row>
    <row r="8" spans="7:11" x14ac:dyDescent="0.2">
      <c r="G8" s="50" t="s">
        <v>57</v>
      </c>
      <c r="H8" s="51"/>
      <c r="I8" s="52"/>
      <c r="J8" s="21" t="str" cm="1">
        <f t="array" ref="J8">_xlfn.IFNA(_xlfn.IFS(I8="","",AND(I8="כן",NOT(H8="")),H8+547),"")</f>
        <v/>
      </c>
      <c r="K8" s="52"/>
    </row>
    <row r="9" spans="7:11" x14ac:dyDescent="0.2">
      <c r="G9" s="50" t="s">
        <v>127</v>
      </c>
      <c r="H9" s="51"/>
      <c r="I9" s="52"/>
      <c r="J9" s="21" t="str" cm="1">
        <f t="array" ref="J9">_xlfn.IFNA(_xlfn.IFS(I9="","",AND(I9="כן",NOT(H9="")),H9+547),"")</f>
        <v/>
      </c>
      <c r="K9" s="52"/>
    </row>
    <row r="10" spans="7:11" x14ac:dyDescent="0.2">
      <c r="G10" s="53" t="s">
        <v>128</v>
      </c>
      <c r="H10" s="51"/>
      <c r="I10" s="52"/>
      <c r="J10" s="21" t="str" cm="1">
        <f t="array" ref="J10">_xlfn.IFNA(_xlfn.IFS(I10="","",AND(I10="כן",NOT(H10="")),H10+547),"")</f>
        <v/>
      </c>
      <c r="K10" s="52"/>
    </row>
    <row r="11" spans="7:11" x14ac:dyDescent="0.2">
      <c r="G11" s="53" t="s">
        <v>129</v>
      </c>
      <c r="H11" s="51"/>
      <c r="I11" s="52"/>
      <c r="J11" s="21" t="str" cm="1">
        <f t="array" ref="J11">_xlfn.IFNA(_xlfn.IFS(I11="","",AND(I11="כן",NOT(H11="")),H11+547),"")</f>
        <v/>
      </c>
      <c r="K11" s="52"/>
    </row>
    <row r="12" spans="7:11" x14ac:dyDescent="0.2">
      <c r="G12" s="53" t="s">
        <v>130</v>
      </c>
      <c r="H12" s="51"/>
      <c r="I12" s="52"/>
      <c r="J12" s="21" t="str" cm="1">
        <f t="array" ref="J12">_xlfn.IFNA(_xlfn.IFS(I12="","",AND(I12="כן",NOT(H12="")),H12+547),"")</f>
        <v/>
      </c>
      <c r="K12" s="52"/>
    </row>
    <row r="13" spans="7:11" ht="31.5" x14ac:dyDescent="0.2">
      <c r="G13" s="53" t="s">
        <v>131</v>
      </c>
      <c r="H13" s="51"/>
      <c r="I13" s="52"/>
      <c r="J13" s="21" t="str" cm="1">
        <f t="array" ref="J13">_xlfn.IFNA(_xlfn.IFS(I13="","",AND(I13="כן",NOT(H13="")),H13+547),"")</f>
        <v/>
      </c>
      <c r="K13" s="52"/>
    </row>
    <row r="14" spans="7:11" x14ac:dyDescent="0.2">
      <c r="G14" s="53" t="s">
        <v>132</v>
      </c>
      <c r="H14" s="51"/>
      <c r="I14" s="52"/>
      <c r="J14" s="21" t="str" cm="1">
        <f t="array" ref="J14">_xlfn.IFNA(_xlfn.IFS(I14="","",AND(I14="כן",NOT(H14="")),H14+547),"")</f>
        <v/>
      </c>
      <c r="K14" s="52"/>
    </row>
  </sheetData>
  <mergeCells count="1">
    <mergeCell ref="G2:K2"/>
  </mergeCells>
  <dataValidations count="1">
    <dataValidation type="list" allowBlank="1" showInputMessage="1" showErrorMessage="1" sqref="I5:I14" xr:uid="{7709C788-CA1C-482A-9D3F-D71D0D92C73B}">
      <formula1>"לא,כן"</formula1>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02CA-F82B-4E5E-8612-A5EBB12F7A23}">
  <sheetPr codeName="גיליון7"/>
  <dimension ref="G2:K26"/>
  <sheetViews>
    <sheetView showGridLines="0" showRowColHeaders="0" rightToLeft="1" zoomScaleNormal="100" workbookViewId="0"/>
  </sheetViews>
  <sheetFormatPr defaultColWidth="9" defaultRowHeight="15.75" x14ac:dyDescent="0.2"/>
  <cols>
    <col min="1" max="1" width="3.625" style="2" customWidth="1"/>
    <col min="2" max="5" width="10.625" style="2" customWidth="1"/>
    <col min="6" max="6" width="3.625" style="2" customWidth="1"/>
    <col min="7" max="7" width="60.625" style="2" customWidth="1"/>
    <col min="8" max="11" width="15.625" style="3" customWidth="1"/>
    <col min="12" max="12" width="3.625" style="2" customWidth="1"/>
    <col min="13" max="16384" width="9" style="2"/>
  </cols>
  <sheetData>
    <row r="2" spans="7:11" ht="31.5" x14ac:dyDescent="0.2">
      <c r="G2" s="100" t="s">
        <v>146</v>
      </c>
      <c r="H2" s="100"/>
      <c r="I2" s="100"/>
      <c r="J2" s="100"/>
      <c r="K2" s="100"/>
    </row>
    <row r="3" spans="7:11" x14ac:dyDescent="0.2">
      <c r="G3" s="32"/>
      <c r="H3" s="37"/>
      <c r="I3" s="37"/>
      <c r="J3" s="37"/>
      <c r="K3" s="37"/>
    </row>
    <row r="4" spans="7:11" ht="31.5" x14ac:dyDescent="0.2">
      <c r="G4" s="34" t="s">
        <v>0</v>
      </c>
      <c r="H4" s="34" t="s">
        <v>1</v>
      </c>
      <c r="I4" s="34" t="s">
        <v>2</v>
      </c>
      <c r="J4" s="34" t="s">
        <v>4</v>
      </c>
      <c r="K4" s="34" t="s">
        <v>3</v>
      </c>
    </row>
    <row r="5" spans="7:11" x14ac:dyDescent="0.2">
      <c r="G5" s="65"/>
      <c r="H5" s="19"/>
      <c r="I5" s="20"/>
      <c r="J5" s="19"/>
      <c r="K5" s="20"/>
    </row>
    <row r="6" spans="7:11" x14ac:dyDescent="0.2">
      <c r="G6" s="65"/>
      <c r="H6" s="19"/>
      <c r="I6" s="20"/>
      <c r="J6" s="19"/>
      <c r="K6" s="20"/>
    </row>
    <row r="7" spans="7:11" x14ac:dyDescent="0.2">
      <c r="G7" s="65"/>
      <c r="H7" s="19"/>
      <c r="I7" s="20"/>
      <c r="J7" s="19"/>
      <c r="K7" s="20"/>
    </row>
    <row r="8" spans="7:11" x14ac:dyDescent="0.2">
      <c r="G8" s="65"/>
      <c r="H8" s="19"/>
      <c r="I8" s="20"/>
      <c r="J8" s="19"/>
      <c r="K8" s="20"/>
    </row>
    <row r="9" spans="7:11" x14ac:dyDescent="0.2">
      <c r="G9" s="65"/>
      <c r="H9" s="19"/>
      <c r="I9" s="20"/>
      <c r="J9" s="19"/>
      <c r="K9" s="20"/>
    </row>
    <row r="10" spans="7:11" x14ac:dyDescent="0.2">
      <c r="G10" s="65"/>
      <c r="H10" s="19"/>
      <c r="I10" s="20"/>
      <c r="J10" s="19"/>
      <c r="K10" s="20"/>
    </row>
    <row r="11" spans="7:11" x14ac:dyDescent="0.2">
      <c r="G11" s="65"/>
      <c r="H11" s="19"/>
      <c r="I11" s="20"/>
      <c r="J11" s="19"/>
      <c r="K11" s="20"/>
    </row>
    <row r="12" spans="7:11" x14ac:dyDescent="0.2">
      <c r="G12" s="65"/>
      <c r="H12" s="19"/>
      <c r="I12" s="20"/>
      <c r="J12" s="19"/>
      <c r="K12" s="20"/>
    </row>
    <row r="13" spans="7:11" x14ac:dyDescent="0.2">
      <c r="G13" s="65"/>
      <c r="H13" s="19"/>
      <c r="I13" s="20"/>
      <c r="J13" s="19"/>
      <c r="K13" s="20"/>
    </row>
    <row r="14" spans="7:11" x14ac:dyDescent="0.2">
      <c r="G14" s="65"/>
      <c r="H14" s="19"/>
      <c r="I14" s="20"/>
      <c r="J14" s="19"/>
      <c r="K14" s="20"/>
    </row>
    <row r="15" spans="7:11" x14ac:dyDescent="0.2">
      <c r="G15" s="65"/>
      <c r="H15" s="19"/>
      <c r="I15" s="20"/>
      <c r="J15" s="19"/>
      <c r="K15" s="20"/>
    </row>
    <row r="16" spans="7:11" x14ac:dyDescent="0.2">
      <c r="G16" s="65"/>
      <c r="H16" s="19"/>
      <c r="I16" s="20"/>
      <c r="J16" s="19"/>
      <c r="K16" s="20"/>
    </row>
    <row r="17" spans="7:11" x14ac:dyDescent="0.2">
      <c r="G17" s="65"/>
      <c r="H17" s="19"/>
      <c r="I17" s="20"/>
      <c r="J17" s="19"/>
      <c r="K17" s="20"/>
    </row>
    <row r="18" spans="7:11" x14ac:dyDescent="0.2">
      <c r="G18" s="65"/>
      <c r="H18" s="19"/>
      <c r="I18" s="20"/>
      <c r="J18" s="19"/>
      <c r="K18" s="20"/>
    </row>
    <row r="19" spans="7:11" x14ac:dyDescent="0.2">
      <c r="G19" s="65"/>
      <c r="H19" s="19"/>
      <c r="I19" s="20"/>
      <c r="J19" s="19"/>
      <c r="K19" s="20"/>
    </row>
    <row r="20" spans="7:11" x14ac:dyDescent="0.2">
      <c r="G20" s="65"/>
      <c r="H20" s="19"/>
      <c r="I20" s="20"/>
      <c r="J20" s="19"/>
      <c r="K20" s="20"/>
    </row>
    <row r="21" spans="7:11" x14ac:dyDescent="0.2">
      <c r="G21" s="65"/>
      <c r="H21" s="19"/>
      <c r="I21" s="20"/>
      <c r="J21" s="19"/>
      <c r="K21" s="20"/>
    </row>
    <row r="22" spans="7:11" x14ac:dyDescent="0.2">
      <c r="G22" s="65"/>
      <c r="H22" s="19"/>
      <c r="I22" s="20"/>
      <c r="J22" s="19"/>
      <c r="K22" s="20"/>
    </row>
    <row r="23" spans="7:11" x14ac:dyDescent="0.2">
      <c r="G23" s="65"/>
      <c r="H23" s="19"/>
      <c r="I23" s="20"/>
      <c r="J23" s="19"/>
      <c r="K23" s="20"/>
    </row>
    <row r="24" spans="7:11" x14ac:dyDescent="0.2">
      <c r="G24" s="65"/>
      <c r="H24" s="19"/>
      <c r="I24" s="20"/>
      <c r="J24" s="19"/>
      <c r="K24" s="20"/>
    </row>
    <row r="25" spans="7:11" x14ac:dyDescent="0.2">
      <c r="G25" s="65"/>
      <c r="H25" s="19"/>
      <c r="I25" s="20"/>
      <c r="J25" s="19"/>
      <c r="K25" s="20"/>
    </row>
    <row r="26" spans="7:11" x14ac:dyDescent="0.2">
      <c r="G26" s="65"/>
      <c r="H26" s="19"/>
      <c r="I26" s="20"/>
      <c r="J26" s="19"/>
      <c r="K26" s="20"/>
    </row>
  </sheetData>
  <mergeCells count="1">
    <mergeCell ref="G2:K2"/>
  </mergeCells>
  <dataValidations count="1">
    <dataValidation type="list" allowBlank="1" showInputMessage="1" showErrorMessage="1" sqref="I5:I26" xr:uid="{7709C788-CA1C-482A-9D3F-D71D0D92C73B}">
      <formula1>"לא,כן"</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6F52C-D97C-4562-9F2B-2D75D9C61C7A}">
  <sheetPr codeName="גיליון13"/>
  <dimension ref="G2:K23"/>
  <sheetViews>
    <sheetView showGridLines="0" showRowColHeaders="0" rightToLeft="1" zoomScaleNormal="100" workbookViewId="0"/>
  </sheetViews>
  <sheetFormatPr defaultColWidth="9" defaultRowHeight="15.75" x14ac:dyDescent="0.2"/>
  <cols>
    <col min="1" max="1" width="3.625" style="2" customWidth="1"/>
    <col min="2" max="5" width="10.625" style="2" customWidth="1"/>
    <col min="6" max="6" width="3.625" style="2" customWidth="1"/>
    <col min="7" max="7" width="60.625" style="4" customWidth="1"/>
    <col min="8" max="8" width="17.625" style="3" customWidth="1"/>
    <col min="9" max="9" width="3.625" style="2" customWidth="1"/>
    <col min="10" max="10" width="60.625" style="2" customWidth="1"/>
    <col min="11" max="11" width="17.625" style="3" customWidth="1"/>
    <col min="12" max="16384" width="9" style="2"/>
  </cols>
  <sheetData>
    <row r="2" spans="7:11" ht="31.5" x14ac:dyDescent="0.2">
      <c r="G2" s="100" t="s">
        <v>113</v>
      </c>
      <c r="H2" s="100"/>
      <c r="I2" s="100"/>
      <c r="J2" s="100"/>
      <c r="K2" s="100"/>
    </row>
    <row r="3" spans="7:11" x14ac:dyDescent="0.2">
      <c r="G3" s="54"/>
      <c r="H3" s="37"/>
      <c r="I3" s="32"/>
      <c r="J3" s="32"/>
      <c r="K3" s="37"/>
    </row>
    <row r="4" spans="7:11" x14ac:dyDescent="0.2">
      <c r="G4" s="107" t="s">
        <v>47</v>
      </c>
      <c r="H4" s="107"/>
      <c r="I4" s="107"/>
      <c r="J4" s="107"/>
      <c r="K4" s="34" t="s">
        <v>46</v>
      </c>
    </row>
    <row r="5" spans="7:11" x14ac:dyDescent="0.2">
      <c r="G5" s="108" t="s">
        <v>45</v>
      </c>
      <c r="H5" s="108"/>
      <c r="I5" s="108"/>
      <c r="J5" s="108"/>
      <c r="K5" s="58"/>
    </row>
    <row r="6" spans="7:11" x14ac:dyDescent="0.2">
      <c r="G6" s="108" t="s">
        <v>58</v>
      </c>
      <c r="H6" s="108"/>
      <c r="I6" s="108"/>
      <c r="J6" s="108"/>
      <c r="K6" s="58"/>
    </row>
    <row r="7" spans="7:11" x14ac:dyDescent="0.2">
      <c r="G7" s="55"/>
      <c r="H7" s="55"/>
      <c r="I7" s="55"/>
      <c r="J7" s="55"/>
      <c r="K7" s="56"/>
    </row>
    <row r="8" spans="7:11" x14ac:dyDescent="0.2">
      <c r="G8" s="106" t="s">
        <v>147</v>
      </c>
      <c r="H8" s="106"/>
      <c r="I8" s="104" t="str" cm="1">
        <f t="array" ref="I8">_xlfn.IFS(AND(K5="",K6=""),"",OR(K5="כן",K6=""),G10,OR(K5="",K6="כן"),G10,AND(K5="לא",K6="לא"),J10)</f>
        <v/>
      </c>
      <c r="J8" s="104"/>
      <c r="K8" s="104"/>
    </row>
    <row r="9" spans="7:11" x14ac:dyDescent="0.2">
      <c r="G9" s="32"/>
      <c r="H9" s="32"/>
      <c r="I9" s="32"/>
      <c r="J9" s="32"/>
      <c r="K9" s="37"/>
    </row>
    <row r="10" spans="7:11" x14ac:dyDescent="0.2">
      <c r="G10" s="61" t="s">
        <v>51</v>
      </c>
      <c r="H10" s="61" t="s">
        <v>52</v>
      </c>
      <c r="I10" s="32"/>
      <c r="J10" s="61" t="s">
        <v>50</v>
      </c>
      <c r="K10" s="61" t="s">
        <v>52</v>
      </c>
    </row>
    <row r="11" spans="7:11" ht="78.75" x14ac:dyDescent="0.2">
      <c r="G11" s="46" t="s">
        <v>48</v>
      </c>
      <c r="H11" s="58"/>
      <c r="I11" s="32"/>
      <c r="J11" s="46" t="s">
        <v>148</v>
      </c>
      <c r="K11" s="58"/>
    </row>
    <row r="12" spans="7:11" x14ac:dyDescent="0.2">
      <c r="G12" s="59" t="s">
        <v>59</v>
      </c>
      <c r="H12" s="59"/>
      <c r="I12" s="32"/>
      <c r="J12" s="63" t="s">
        <v>149</v>
      </c>
      <c r="K12" s="62"/>
    </row>
    <row r="13" spans="7:11" x14ac:dyDescent="0.2">
      <c r="G13" s="60" t="s">
        <v>68</v>
      </c>
      <c r="H13" s="43"/>
      <c r="I13" s="32"/>
      <c r="J13" s="105" t="s">
        <v>49</v>
      </c>
      <c r="K13" s="105"/>
    </row>
    <row r="14" spans="7:11" x14ac:dyDescent="0.2">
      <c r="G14" s="46" t="s">
        <v>40</v>
      </c>
      <c r="H14" s="43"/>
      <c r="I14" s="32"/>
      <c r="J14" s="105"/>
      <c r="K14" s="105"/>
    </row>
    <row r="15" spans="7:11" x14ac:dyDescent="0.2">
      <c r="G15" s="46" t="s">
        <v>41</v>
      </c>
      <c r="H15" s="43"/>
      <c r="I15" s="32"/>
      <c r="J15" s="63" t="s">
        <v>150</v>
      </c>
      <c r="K15" s="62"/>
    </row>
    <row r="16" spans="7:11" x14ac:dyDescent="0.2">
      <c r="G16" s="46" t="s">
        <v>69</v>
      </c>
      <c r="H16" s="43"/>
      <c r="I16" s="32"/>
      <c r="J16" s="63" t="s">
        <v>151</v>
      </c>
      <c r="K16" s="62"/>
    </row>
    <row r="17" spans="7:11" ht="31.5" x14ac:dyDescent="0.2">
      <c r="G17" s="46" t="s">
        <v>42</v>
      </c>
      <c r="H17" s="43"/>
      <c r="I17" s="32"/>
      <c r="J17" s="63" t="s">
        <v>152</v>
      </c>
      <c r="K17" s="62"/>
    </row>
    <row r="18" spans="7:11" ht="31.5" x14ac:dyDescent="0.2">
      <c r="G18" s="46" t="s">
        <v>43</v>
      </c>
      <c r="H18" s="43"/>
      <c r="I18" s="32"/>
      <c r="J18" s="63" t="s">
        <v>153</v>
      </c>
      <c r="K18" s="62"/>
    </row>
    <row r="19" spans="7:11" ht="47.25" x14ac:dyDescent="0.2">
      <c r="G19" s="46" t="s">
        <v>44</v>
      </c>
      <c r="H19" s="43"/>
      <c r="I19" s="32"/>
      <c r="J19" s="32"/>
      <c r="K19" s="37"/>
    </row>
    <row r="20" spans="7:11" x14ac:dyDescent="0.2">
      <c r="G20" s="54"/>
      <c r="H20" s="37"/>
      <c r="I20" s="32"/>
      <c r="J20" s="32"/>
      <c r="K20" s="37"/>
    </row>
    <row r="21" spans="7:11" x14ac:dyDescent="0.2">
      <c r="G21" s="54"/>
      <c r="H21" s="37"/>
      <c r="I21" s="32"/>
      <c r="J21" s="32"/>
      <c r="K21" s="37"/>
    </row>
    <row r="22" spans="7:11" x14ac:dyDescent="0.2">
      <c r="G22" s="57"/>
      <c r="H22" s="37"/>
      <c r="I22" s="32"/>
      <c r="J22" s="32"/>
      <c r="K22" s="37"/>
    </row>
    <row r="23" spans="7:11" x14ac:dyDescent="0.2">
      <c r="G23" s="57"/>
      <c r="H23" s="37"/>
      <c r="I23" s="32"/>
      <c r="J23" s="32"/>
      <c r="K23" s="37"/>
    </row>
  </sheetData>
  <dataConsolidate/>
  <mergeCells count="7">
    <mergeCell ref="I8:K8"/>
    <mergeCell ref="G2:K2"/>
    <mergeCell ref="J13:K14"/>
    <mergeCell ref="G8:H8"/>
    <mergeCell ref="G4:J4"/>
    <mergeCell ref="G5:J5"/>
    <mergeCell ref="G6:J6"/>
  </mergeCells>
  <conditionalFormatting sqref="I8">
    <cfRule type="containsText" dxfId="3" priority="3" operator="containsText" text="רישום">
      <formula>NOT(ISERROR(SEARCH("רישום",I8)))</formula>
    </cfRule>
    <cfRule type="containsText" dxfId="2" priority="4" operator="containsText" text="הודעה">
      <formula>NOT(ISERROR(SEARCH("הודעה",I8)))</formula>
    </cfRule>
  </conditionalFormatting>
  <conditionalFormatting sqref="K11:K12 K15:K18">
    <cfRule type="containsText" dxfId="1" priority="1" operator="containsText" text="לא">
      <formula>NOT(ISERROR(SEARCH("לא",K11)))</formula>
    </cfRule>
    <cfRule type="containsText" dxfId="0" priority="2" operator="containsText" text="כן">
      <formula>NOT(ISERROR(SEARCH("כן",K11)))</formula>
    </cfRule>
  </conditionalFormatting>
  <dataValidations count="4">
    <dataValidation type="list" allowBlank="1" showInputMessage="1" showErrorMessage="1" sqref="H13:H19 H11 K11:K12 K16:K18" xr:uid="{24EAE553-C002-4ED6-A4D3-6FEFE7397A94}">
      <formula1>"לא,כן"</formula1>
    </dataValidation>
    <dataValidation type="list" errorStyle="warning" allowBlank="1" showInputMessage="1" showErrorMessage="1" sqref="K5:K6" xr:uid="{7A8D67FF-2368-409D-984F-670793A058E0}">
      <formula1>"לא,כן"</formula1>
    </dataValidation>
    <dataValidation errorStyle="warning" allowBlank="1" showInputMessage="1" showErrorMessage="1" sqref="K7" xr:uid="{933F0AFE-9737-4F0C-8EAD-9F1326E50812}"/>
    <dataValidation type="list" showInputMessage="1" showErrorMessage="1" sqref="K12 K15:K18" xr:uid="{E5B157AE-04B8-4F72-8D8F-68AAE741CF61}">
      <formula1>"לא,כן"</formula1>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C9C52-0CBD-474A-8606-22A71224BC6D}">
  <sheetPr codeName="גיליון12"/>
  <dimension ref="F2:L15"/>
  <sheetViews>
    <sheetView showGridLines="0" showRowColHeaders="0" rightToLeft="1" zoomScaleNormal="100" workbookViewId="0"/>
  </sheetViews>
  <sheetFormatPr defaultColWidth="9" defaultRowHeight="15.75" x14ac:dyDescent="0.2"/>
  <cols>
    <col min="1" max="1" width="3.625" style="2" customWidth="1"/>
    <col min="2" max="5" width="10.625" style="2" customWidth="1"/>
    <col min="6" max="6" width="3.625" style="2" customWidth="1"/>
    <col min="7" max="7" width="60.625" style="2" customWidth="1"/>
    <col min="8" max="10" width="15.625" style="2" customWidth="1"/>
    <col min="11" max="11" width="3.625" style="2" customWidth="1"/>
    <col min="12" max="16384" width="9" style="2"/>
  </cols>
  <sheetData>
    <row r="2" spans="6:12" ht="31.5" x14ac:dyDescent="0.2">
      <c r="G2" s="100" t="s">
        <v>34</v>
      </c>
      <c r="H2" s="100"/>
      <c r="I2" s="100"/>
      <c r="J2" s="100"/>
      <c r="K2" s="7"/>
    </row>
    <row r="3" spans="6:12" ht="21" x14ac:dyDescent="0.2">
      <c r="G3" s="103" t="s">
        <v>60</v>
      </c>
      <c r="H3" s="103"/>
      <c r="I3" s="103"/>
      <c r="J3" s="103"/>
    </row>
    <row r="4" spans="6:12" x14ac:dyDescent="0.2">
      <c r="F4" s="8"/>
      <c r="G4" s="64"/>
      <c r="H4" s="64"/>
      <c r="I4" s="64"/>
      <c r="J4" s="64"/>
      <c r="K4" s="8"/>
      <c r="L4" s="8"/>
    </row>
    <row r="5" spans="6:12" x14ac:dyDescent="0.2">
      <c r="G5" s="34" t="s">
        <v>0</v>
      </c>
      <c r="H5" s="34" t="s">
        <v>28</v>
      </c>
      <c r="I5" s="34" t="s">
        <v>29</v>
      </c>
      <c r="J5" s="34" t="s">
        <v>30</v>
      </c>
    </row>
    <row r="6" spans="6:12" ht="31.5" x14ac:dyDescent="0.2">
      <c r="G6" s="35" t="s">
        <v>94</v>
      </c>
      <c r="H6" s="19"/>
      <c r="I6" s="20"/>
      <c r="J6" s="19"/>
    </row>
    <row r="7" spans="6:12" x14ac:dyDescent="0.2">
      <c r="G7" s="35" t="s">
        <v>95</v>
      </c>
      <c r="H7" s="19"/>
      <c r="I7" s="20"/>
      <c r="J7" s="19"/>
    </row>
    <row r="8" spans="6:12" ht="47.25" x14ac:dyDescent="0.2">
      <c r="G8" s="35" t="s">
        <v>114</v>
      </c>
      <c r="H8" s="19"/>
      <c r="I8" s="20"/>
      <c r="J8" s="19"/>
    </row>
    <row r="9" spans="6:12" x14ac:dyDescent="0.2">
      <c r="G9" s="32"/>
      <c r="H9" s="32"/>
      <c r="I9" s="32"/>
      <c r="J9" s="32"/>
    </row>
    <row r="10" spans="6:12" x14ac:dyDescent="0.2">
      <c r="G10" s="22" t="s">
        <v>37</v>
      </c>
      <c r="H10" s="32"/>
      <c r="I10" s="32"/>
      <c r="J10" s="32"/>
    </row>
    <row r="11" spans="6:12" ht="14.25" customHeight="1" x14ac:dyDescent="0.2">
      <c r="G11" s="109" t="s">
        <v>104</v>
      </c>
      <c r="H11" s="109"/>
      <c r="I11" s="109"/>
      <c r="J11" s="109"/>
    </row>
    <row r="12" spans="6:12" x14ac:dyDescent="0.2">
      <c r="G12" s="32"/>
      <c r="H12" s="32"/>
      <c r="I12" s="32"/>
      <c r="J12" s="32"/>
    </row>
    <row r="13" spans="6:12" x14ac:dyDescent="0.2">
      <c r="G13" s="32"/>
      <c r="H13" s="32"/>
      <c r="I13" s="32"/>
      <c r="J13" s="32"/>
    </row>
    <row r="14" spans="6:12" x14ac:dyDescent="0.2">
      <c r="G14" s="32"/>
      <c r="H14" s="32"/>
      <c r="I14" s="32"/>
      <c r="J14" s="32"/>
    </row>
    <row r="15" spans="6:12" x14ac:dyDescent="0.2">
      <c r="G15" s="32"/>
      <c r="H15" s="32"/>
      <c r="I15" s="32"/>
      <c r="J15" s="32"/>
    </row>
  </sheetData>
  <mergeCells count="3">
    <mergeCell ref="G2:J2"/>
    <mergeCell ref="G3:J3"/>
    <mergeCell ref="G11:J11"/>
  </mergeCells>
  <hyperlinks>
    <hyperlink ref="G11" r:id="rId1" xr:uid="{AFF2E9FE-BAA1-4E91-A01D-29892E1782BA}"/>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89E1-800F-4119-A1C5-7663DE4D7958}">
  <sheetPr codeName="גיליון3"/>
  <dimension ref="F1:K21"/>
  <sheetViews>
    <sheetView showGridLines="0" showRowColHeaders="0" rightToLeft="1" zoomScaleNormal="100" workbookViewId="0"/>
  </sheetViews>
  <sheetFormatPr defaultColWidth="9" defaultRowHeight="15.75" x14ac:dyDescent="0.2"/>
  <cols>
    <col min="1" max="1" width="3.625" style="2" customWidth="1"/>
    <col min="2" max="5" width="10.625" style="2" customWidth="1"/>
    <col min="6" max="6" width="3.625" style="2" customWidth="1"/>
    <col min="7" max="7" width="60.625" style="2" customWidth="1"/>
    <col min="8" max="11" width="15.625" style="3" customWidth="1"/>
    <col min="12" max="12" width="3.625" style="2" customWidth="1"/>
    <col min="13" max="16384" width="9" style="2"/>
  </cols>
  <sheetData>
    <row r="1" spans="6:11" x14ac:dyDescent="0.2">
      <c r="F1" s="4"/>
    </row>
    <row r="2" spans="6:11" ht="31.5" x14ac:dyDescent="0.2">
      <c r="F2" s="4"/>
      <c r="G2" s="100" t="s">
        <v>70</v>
      </c>
      <c r="H2" s="100"/>
      <c r="I2" s="100"/>
      <c r="J2" s="100"/>
      <c r="K2" s="100"/>
    </row>
    <row r="3" spans="6:11" x14ac:dyDescent="0.2">
      <c r="F3" s="4"/>
      <c r="G3" s="32"/>
      <c r="H3" s="37"/>
      <c r="I3" s="37"/>
      <c r="J3" s="37"/>
      <c r="K3" s="37"/>
    </row>
    <row r="4" spans="6:11" ht="31.5" x14ac:dyDescent="0.2">
      <c r="G4" s="34" t="s">
        <v>0</v>
      </c>
      <c r="H4" s="34" t="s">
        <v>2</v>
      </c>
      <c r="I4" s="34" t="s">
        <v>1</v>
      </c>
      <c r="J4" s="34" t="s">
        <v>4</v>
      </c>
      <c r="K4" s="34" t="s">
        <v>3</v>
      </c>
    </row>
    <row r="5" spans="6:11" x14ac:dyDescent="0.2">
      <c r="G5" s="66" t="s">
        <v>133</v>
      </c>
      <c r="H5" s="20"/>
      <c r="I5" s="19"/>
      <c r="J5" s="21" t="str" cm="1">
        <f t="array" ref="J5">_xlfn.IFNA(_xlfn.IFS(H5="","",AND(H5="כן",NOT(I5="")),I5+547),"")</f>
        <v/>
      </c>
      <c r="K5" s="20"/>
    </row>
    <row r="6" spans="6:11" ht="47.25" x14ac:dyDescent="0.2">
      <c r="G6" s="66" t="s">
        <v>134</v>
      </c>
      <c r="H6" s="20"/>
      <c r="I6" s="19"/>
      <c r="J6" s="21" t="str" cm="1">
        <f t="array" ref="J6">_xlfn.IFNA(_xlfn.IFS(H6="","",AND(H6="כן",NOT(I6="")),I6+547),"")</f>
        <v/>
      </c>
      <c r="K6" s="20"/>
    </row>
    <row r="7" spans="6:11" ht="47.25" x14ac:dyDescent="0.2">
      <c r="G7" s="66" t="s">
        <v>154</v>
      </c>
      <c r="H7" s="20"/>
      <c r="I7" s="19"/>
      <c r="J7" s="21" t="str" cm="1">
        <f t="array" ref="J7">_xlfn.IFNA(_xlfn.IFS(H7="","",AND(H7="כן",NOT(I7="")),I7+547),"")</f>
        <v/>
      </c>
      <c r="K7" s="20"/>
    </row>
    <row r="8" spans="6:11" x14ac:dyDescent="0.2">
      <c r="G8" s="66" t="s">
        <v>135</v>
      </c>
      <c r="H8" s="20"/>
      <c r="I8" s="19"/>
      <c r="J8" s="21" t="str" cm="1">
        <f t="array" ref="J8">_xlfn.IFNA(_xlfn.IFS(H8="","",AND(H8="כן",NOT(I8="")),I8+547),"")</f>
        <v/>
      </c>
      <c r="K8" s="20"/>
    </row>
    <row r="9" spans="6:11" ht="31.5" x14ac:dyDescent="0.2">
      <c r="G9" s="66" t="s">
        <v>136</v>
      </c>
      <c r="H9" s="20"/>
      <c r="I9" s="19"/>
      <c r="J9" s="21" t="str" cm="1">
        <f t="array" ref="J9">_xlfn.IFNA(_xlfn.IFS(H9="","",AND(H9="כן",NOT(I9="")),I9+547),"")</f>
        <v/>
      </c>
      <c r="K9" s="20"/>
    </row>
    <row r="10" spans="6:11" x14ac:dyDescent="0.2">
      <c r="G10" s="66" t="s">
        <v>76</v>
      </c>
      <c r="H10" s="20"/>
      <c r="I10" s="19"/>
      <c r="J10" s="21" t="str" cm="1">
        <f t="array" ref="J10">_xlfn.IFNA(_xlfn.IFS(H10="","",AND(H10="כן",NOT(I10="")),I10+547),"")</f>
        <v/>
      </c>
      <c r="K10" s="20"/>
    </row>
    <row r="11" spans="6:11" ht="31.5" x14ac:dyDescent="0.2">
      <c r="G11" s="66" t="s">
        <v>137</v>
      </c>
      <c r="H11" s="20"/>
      <c r="I11" s="19"/>
      <c r="J11" s="21" t="str" cm="1">
        <f t="array" ref="J11">_xlfn.IFNA(_xlfn.IFS(H11="","",AND(H11="כן",NOT(I11="")),I11+547),"")</f>
        <v/>
      </c>
      <c r="K11" s="20"/>
    </row>
    <row r="12" spans="6:11" x14ac:dyDescent="0.2">
      <c r="G12" s="5"/>
    </row>
    <row r="21" spans="9:9" x14ac:dyDescent="0.2">
      <c r="I21" s="6"/>
    </row>
  </sheetData>
  <mergeCells count="1">
    <mergeCell ref="G2:K2"/>
  </mergeCells>
  <dataValidations count="1">
    <dataValidation type="list" allowBlank="1" showInputMessage="1" showErrorMessage="1" sqref="H5:H11" xr:uid="{2FD9FCDE-FF05-4BF0-9C14-1E947AA2C3BC}">
      <formula1>"לא,כן"</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9E9E8-584C-4D30-888E-C99D3D3F4651}">
  <sheetPr codeName="גיליון11"/>
  <dimension ref="G2:P13"/>
  <sheetViews>
    <sheetView showGridLines="0" showRowColHeaders="0" rightToLeft="1" zoomScale="90" zoomScaleNormal="90" workbookViewId="0"/>
  </sheetViews>
  <sheetFormatPr defaultColWidth="9" defaultRowHeight="15.75" x14ac:dyDescent="0.2"/>
  <cols>
    <col min="1" max="1" width="3.625" style="2" customWidth="1"/>
    <col min="2" max="5" width="10.625" style="2" customWidth="1"/>
    <col min="6" max="6" width="3.625" style="2" customWidth="1"/>
    <col min="7" max="7" width="25.625" style="2" customWidth="1"/>
    <col min="8" max="8" width="15.625" style="2" customWidth="1"/>
    <col min="9" max="9" width="18.625" style="2" customWidth="1"/>
    <col min="10" max="11" width="15.625" style="2" customWidth="1"/>
    <col min="12" max="13" width="13.625" style="3" customWidth="1"/>
    <col min="14" max="14" width="15.625" style="2" customWidth="1"/>
    <col min="15" max="15" width="15.625" style="3" customWidth="1"/>
    <col min="16" max="16" width="45.625" style="3" customWidth="1"/>
    <col min="17" max="17" width="3.625" style="2" customWidth="1"/>
    <col min="18" max="16384" width="9" style="2"/>
  </cols>
  <sheetData>
    <row r="2" spans="7:16" ht="31.5" x14ac:dyDescent="0.2">
      <c r="G2" s="100" t="s">
        <v>115</v>
      </c>
      <c r="H2" s="100"/>
      <c r="I2" s="100"/>
      <c r="J2" s="100"/>
      <c r="K2" s="100"/>
      <c r="L2" s="100"/>
      <c r="M2" s="100"/>
      <c r="N2" s="100"/>
      <c r="O2" s="100"/>
      <c r="P2" s="100"/>
    </row>
    <row r="3" spans="7:16" x14ac:dyDescent="0.2">
      <c r="G3" s="32"/>
      <c r="H3" s="32"/>
      <c r="I3" s="32"/>
      <c r="J3" s="32"/>
      <c r="K3" s="32"/>
      <c r="L3" s="37"/>
      <c r="M3" s="37"/>
      <c r="N3" s="32"/>
      <c r="O3" s="37"/>
      <c r="P3" s="37"/>
    </row>
    <row r="4" spans="7:16" ht="47.25" x14ac:dyDescent="0.2">
      <c r="G4" s="34" t="s">
        <v>5</v>
      </c>
      <c r="H4" s="34" t="s">
        <v>6</v>
      </c>
      <c r="I4" s="34" t="s">
        <v>7</v>
      </c>
      <c r="J4" s="34" t="s">
        <v>8</v>
      </c>
      <c r="K4" s="34" t="s">
        <v>12</v>
      </c>
      <c r="L4" s="34" t="s">
        <v>9</v>
      </c>
      <c r="M4" s="34" t="s">
        <v>10</v>
      </c>
      <c r="N4" s="34" t="s">
        <v>11</v>
      </c>
      <c r="O4" s="34" t="s">
        <v>13</v>
      </c>
      <c r="P4" s="34" t="s">
        <v>155</v>
      </c>
    </row>
    <row r="5" spans="7:16" x14ac:dyDescent="0.2">
      <c r="G5" s="65"/>
      <c r="H5" s="19"/>
      <c r="I5" s="20"/>
      <c r="J5" s="19"/>
      <c r="K5" s="19"/>
      <c r="L5" s="20"/>
      <c r="M5" s="20"/>
      <c r="N5" s="65"/>
      <c r="O5" s="20"/>
      <c r="P5" s="70" t="str">
        <f>IF(O5="כן","https://www.gov.il/he/service/report-of-data-breach","")</f>
        <v/>
      </c>
    </row>
    <row r="6" spans="7:16" x14ac:dyDescent="0.2">
      <c r="G6" s="65"/>
      <c r="H6" s="67"/>
      <c r="I6" s="65"/>
      <c r="J6" s="65"/>
      <c r="K6" s="65"/>
      <c r="L6" s="20"/>
      <c r="M6" s="20"/>
      <c r="N6" s="65"/>
      <c r="O6" s="20"/>
      <c r="P6" s="70" t="str">
        <f t="shared" ref="P6:P13" si="0">IF(O6="כן","https://www.gov.il/he/service/report-of-data-breach","")</f>
        <v/>
      </c>
    </row>
    <row r="7" spans="7:16" x14ac:dyDescent="0.2">
      <c r="G7" s="65"/>
      <c r="H7" s="67"/>
      <c r="I7" s="65"/>
      <c r="J7" s="65"/>
      <c r="K7" s="65"/>
      <c r="L7" s="20"/>
      <c r="M7" s="20"/>
      <c r="N7" s="65"/>
      <c r="O7" s="20"/>
      <c r="P7" s="70" t="str">
        <f t="shared" si="0"/>
        <v/>
      </c>
    </row>
    <row r="8" spans="7:16" x14ac:dyDescent="0.2">
      <c r="G8" s="65"/>
      <c r="H8" s="67"/>
      <c r="I8" s="65"/>
      <c r="J8" s="65"/>
      <c r="K8" s="65"/>
      <c r="L8" s="20"/>
      <c r="M8" s="20"/>
      <c r="N8" s="65"/>
      <c r="O8" s="20"/>
      <c r="P8" s="70" t="str">
        <f t="shared" si="0"/>
        <v/>
      </c>
    </row>
    <row r="9" spans="7:16" x14ac:dyDescent="0.2">
      <c r="G9" s="65"/>
      <c r="H9" s="67"/>
      <c r="I9" s="65"/>
      <c r="J9" s="65"/>
      <c r="K9" s="65"/>
      <c r="L9" s="20"/>
      <c r="M9" s="20"/>
      <c r="N9" s="65"/>
      <c r="O9" s="20"/>
      <c r="P9" s="70" t="str">
        <f t="shared" si="0"/>
        <v/>
      </c>
    </row>
    <row r="10" spans="7:16" x14ac:dyDescent="0.2">
      <c r="G10" s="65"/>
      <c r="H10" s="67"/>
      <c r="I10" s="65"/>
      <c r="J10" s="65"/>
      <c r="K10" s="65"/>
      <c r="L10" s="20"/>
      <c r="M10" s="20"/>
      <c r="N10" s="65"/>
      <c r="O10" s="20"/>
      <c r="P10" s="70" t="str">
        <f t="shared" si="0"/>
        <v/>
      </c>
    </row>
    <row r="11" spans="7:16" x14ac:dyDescent="0.2">
      <c r="G11" s="65"/>
      <c r="H11" s="67"/>
      <c r="I11" s="65"/>
      <c r="J11" s="65"/>
      <c r="K11" s="65"/>
      <c r="L11" s="20"/>
      <c r="M11" s="20"/>
      <c r="N11" s="65"/>
      <c r="O11" s="20"/>
      <c r="P11" s="70" t="str">
        <f t="shared" si="0"/>
        <v/>
      </c>
    </row>
    <row r="12" spans="7:16" x14ac:dyDescent="0.2">
      <c r="G12" s="65"/>
      <c r="H12" s="67"/>
      <c r="I12" s="65"/>
      <c r="J12" s="65"/>
      <c r="K12" s="65"/>
      <c r="L12" s="20"/>
      <c r="M12" s="20"/>
      <c r="N12" s="65"/>
      <c r="O12" s="20"/>
      <c r="P12" s="70" t="str">
        <f t="shared" si="0"/>
        <v/>
      </c>
    </row>
    <row r="13" spans="7:16" x14ac:dyDescent="0.2">
      <c r="G13" s="65"/>
      <c r="H13" s="67"/>
      <c r="I13" s="65"/>
      <c r="J13" s="65"/>
      <c r="K13" s="65"/>
      <c r="L13" s="20"/>
      <c r="M13" s="20"/>
      <c r="N13" s="65"/>
      <c r="O13" s="20"/>
      <c r="P13" s="70" t="str">
        <f t="shared" si="0"/>
        <v/>
      </c>
    </row>
  </sheetData>
  <protectedRanges>
    <protectedRange algorithmName="SHA-512" hashValue="SfJdF/crS/EMOVoT6XG/m07+nQSzyfr7JhCNuLIdAcIUkc6Hp5oe7CHb1JI1qOGLIkRgNxZS3RUnm3JoLnZlqg==" saltValue="OdFa4DjQAZzWM56pNu5vqg==" spinCount="100000" sqref="P5:P13" name="טווח1"/>
  </protectedRanges>
  <mergeCells count="1">
    <mergeCell ref="G2:P2"/>
  </mergeCells>
  <dataValidations count="2">
    <dataValidation type="list" allowBlank="1" showInputMessage="1" showErrorMessage="1" sqref="I5:I13" xr:uid="{F6462A3F-559B-4067-93F6-E908378A5F4A}">
      <formula1>"זכות עיון,זכות תיקון,סוגיות הנוגעות להסכמה,סוגיות של אבטחת מידע"</formula1>
    </dataValidation>
    <dataValidation type="list" errorStyle="warning" allowBlank="1" showInputMessage="1" showErrorMessage="1" sqref="O5:O13 M5:M13 L5:L13" xr:uid="{82A76A52-3A59-4CA1-9030-D23E30A50180}">
      <formula1>"לא,כן"</formula1>
    </dataValidation>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1D00D-F6B9-402F-84FA-BCD07D27C59C}">
  <dimension ref="F2:K24"/>
  <sheetViews>
    <sheetView showGridLines="0" showRowColHeaders="0" rightToLeft="1" zoomScaleNormal="100" workbookViewId="0"/>
  </sheetViews>
  <sheetFormatPr defaultColWidth="9" defaultRowHeight="15.75" x14ac:dyDescent="0.2"/>
  <cols>
    <col min="1" max="1" width="3.625" style="2" customWidth="1"/>
    <col min="2" max="5" width="10.625" style="2" customWidth="1"/>
    <col min="6" max="6" width="3.625" style="2" customWidth="1"/>
    <col min="7" max="7" width="60.625" style="2" customWidth="1"/>
    <col min="8" max="8" width="45.625" style="3" customWidth="1"/>
    <col min="9" max="9" width="15.625" style="2" customWidth="1"/>
    <col min="10" max="10" width="15.625" style="3" customWidth="1"/>
    <col min="11" max="11" width="3.625" style="3" customWidth="1"/>
    <col min="12" max="12" width="9" style="2" customWidth="1"/>
    <col min="13" max="16384" width="9" style="2"/>
  </cols>
  <sheetData>
    <row r="2" spans="6:11" ht="31.5" x14ac:dyDescent="0.2">
      <c r="G2" s="100" t="s">
        <v>54</v>
      </c>
      <c r="H2" s="100"/>
      <c r="I2" s="100"/>
      <c r="J2" s="100"/>
      <c r="K2" s="1"/>
    </row>
    <row r="3" spans="6:11" ht="21" customHeight="1" x14ac:dyDescent="0.2">
      <c r="F3" s="110" t="s">
        <v>77</v>
      </c>
      <c r="G3" s="110"/>
      <c r="H3" s="110"/>
      <c r="I3" s="110"/>
      <c r="J3" s="110"/>
      <c r="K3" s="110"/>
    </row>
    <row r="4" spans="6:11" x14ac:dyDescent="0.2">
      <c r="G4" s="32"/>
      <c r="H4" s="37"/>
      <c r="I4" s="32"/>
      <c r="J4" s="37"/>
    </row>
    <row r="5" spans="6:11" x14ac:dyDescent="0.2">
      <c r="G5" s="34" t="s">
        <v>0</v>
      </c>
      <c r="H5" s="34" t="s">
        <v>52</v>
      </c>
      <c r="I5" s="34" t="s">
        <v>55</v>
      </c>
      <c r="J5" s="34" t="s">
        <v>56</v>
      </c>
    </row>
    <row r="6" spans="6:11" ht="31.5" x14ac:dyDescent="0.2">
      <c r="G6" s="66" t="s">
        <v>61</v>
      </c>
      <c r="H6" s="20"/>
      <c r="I6" s="67"/>
      <c r="J6" s="19"/>
    </row>
    <row r="7" spans="6:11" ht="47.25" x14ac:dyDescent="0.2">
      <c r="G7" s="69" t="s">
        <v>101</v>
      </c>
      <c r="H7" s="20"/>
      <c r="I7" s="67"/>
      <c r="J7" s="19"/>
    </row>
    <row r="8" spans="6:11" ht="31.5" x14ac:dyDescent="0.2">
      <c r="G8" s="66" t="s">
        <v>117</v>
      </c>
      <c r="H8" s="20"/>
      <c r="I8" s="67"/>
      <c r="J8" s="19"/>
    </row>
    <row r="9" spans="6:11" ht="31.5" x14ac:dyDescent="0.2">
      <c r="G9" s="66" t="s">
        <v>140</v>
      </c>
      <c r="H9" s="20"/>
      <c r="I9" s="67"/>
      <c r="J9" s="19"/>
    </row>
    <row r="10" spans="6:11" ht="31.5" x14ac:dyDescent="0.2">
      <c r="G10" s="66" t="s">
        <v>156</v>
      </c>
      <c r="H10" s="20"/>
      <c r="I10" s="67"/>
      <c r="J10" s="19"/>
    </row>
    <row r="11" spans="6:11" ht="31.5" x14ac:dyDescent="0.2">
      <c r="G11" s="66" t="s">
        <v>141</v>
      </c>
      <c r="H11" s="20"/>
      <c r="I11" s="67"/>
      <c r="J11" s="19"/>
    </row>
    <row r="12" spans="6:11" ht="31.5" x14ac:dyDescent="0.2">
      <c r="G12" s="66" t="s">
        <v>142</v>
      </c>
      <c r="H12" s="20"/>
      <c r="I12" s="67"/>
      <c r="J12" s="19"/>
    </row>
    <row r="13" spans="6:11" x14ac:dyDescent="0.2">
      <c r="G13" s="32"/>
      <c r="H13" s="37"/>
      <c r="I13" s="32"/>
      <c r="J13" s="37"/>
    </row>
    <row r="14" spans="6:11" x14ac:dyDescent="0.2">
      <c r="G14" s="68" t="s">
        <v>116</v>
      </c>
      <c r="H14" s="39"/>
      <c r="I14" s="32"/>
      <c r="J14" s="37"/>
    </row>
    <row r="15" spans="6:11" x14ac:dyDescent="0.2">
      <c r="G15" s="23" t="s">
        <v>143</v>
      </c>
      <c r="H15" s="37"/>
      <c r="I15" s="32"/>
      <c r="J15" s="37"/>
    </row>
    <row r="16" spans="6:11" x14ac:dyDescent="0.2">
      <c r="G16" s="37"/>
      <c r="H16" s="37"/>
      <c r="I16" s="32"/>
      <c r="J16" s="37"/>
    </row>
    <row r="17" spans="7:10" x14ac:dyDescent="0.2">
      <c r="G17" s="37"/>
      <c r="H17" s="37"/>
      <c r="I17" s="32"/>
      <c r="J17" s="37"/>
    </row>
    <row r="18" spans="7:10" x14ac:dyDescent="0.2">
      <c r="G18" s="3"/>
    </row>
    <row r="19" spans="7:10" x14ac:dyDescent="0.2">
      <c r="G19" s="3"/>
    </row>
    <row r="20" spans="7:10" x14ac:dyDescent="0.2">
      <c r="G20" s="3"/>
    </row>
    <row r="21" spans="7:10" x14ac:dyDescent="0.2">
      <c r="G21" s="3"/>
    </row>
    <row r="22" spans="7:10" x14ac:dyDescent="0.2">
      <c r="G22" s="3"/>
    </row>
    <row r="23" spans="7:10" x14ac:dyDescent="0.2">
      <c r="G23" s="3"/>
    </row>
    <row r="24" spans="7:10" x14ac:dyDescent="0.2">
      <c r="G24" s="3"/>
    </row>
  </sheetData>
  <mergeCells count="2">
    <mergeCell ref="F3:K3"/>
    <mergeCell ref="G2:J2"/>
  </mergeCells>
  <dataValidations count="2">
    <dataValidation type="list" errorStyle="warning" allowBlank="1" showInputMessage="1" showErrorMessage="1" sqref="H6:H12" xr:uid="{2E07E443-3450-407A-AE07-D02E500556A8}">
      <formula1>"לא,כן"</formula1>
    </dataValidation>
    <dataValidation errorStyle="warning" allowBlank="1" showInputMessage="1" showErrorMessage="1" sqref="I6:J12" xr:uid="{15CBA2CF-2227-4840-8B7C-AD94ABBD18FA}"/>
  </dataValidations>
  <hyperlinks>
    <hyperlink ref="G15" r:id="rId1" xr:uid="{BF4FEB55-F8B2-4D59-AE64-67D506EC49B2}"/>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14</vt:i4>
      </vt:variant>
    </vt:vector>
  </HeadingPairs>
  <TitlesOfParts>
    <vt:vector size="14" baseType="lpstr">
      <vt:lpstr>ראשי</vt:lpstr>
      <vt:lpstr>1. יידוע</vt:lpstr>
      <vt:lpstr>2. הסכמה</vt:lpstr>
      <vt:lpstr>2.1 סוגיות נוספות לבחינה</vt:lpstr>
      <vt:lpstr>3. צמידות מטרה וצמצום מידע</vt:lpstr>
      <vt:lpstr>4. אבטחת מידע</vt:lpstr>
      <vt:lpstr>4.1 סעיפי חובה מסמך הגדרות מאגר</vt:lpstr>
      <vt:lpstr>5. בקרה שוטפת</vt:lpstr>
      <vt:lpstr>5.1 תיקון ליקויים</vt:lpstr>
      <vt:lpstr>6. רישום והודעה על מאגרים</vt:lpstr>
      <vt:lpstr>7. דיוור ישיר</vt:lpstr>
      <vt:lpstr>8. עובדים</vt:lpstr>
      <vt:lpstr>9. טיפול בפניות</vt:lpstr>
      <vt:lpstr>10. אחריות דירקטוריון</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 Asaev</dc:creator>
  <cp:lastModifiedBy>Bar Asaev</cp:lastModifiedBy>
  <dcterms:created xsi:type="dcterms:W3CDTF">2025-05-29T12:29:41Z</dcterms:created>
  <dcterms:modified xsi:type="dcterms:W3CDTF">2026-01-26T23:51:44Z</dcterms:modified>
</cp:coreProperties>
</file>